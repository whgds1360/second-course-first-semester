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Second_year_of_college\ПРАКТИКА инфор.технологии\"/>
    </mc:Choice>
  </mc:AlternateContent>
  <xr:revisionPtr revIDLastSave="0" documentId="13_ncr:1_{991362FB-B674-498C-9E37-D3C03A009281}" xr6:coauthVersionLast="47" xr6:coauthVersionMax="47" xr10:uidLastSave="{00000000-0000-0000-0000-000000000000}"/>
  <bookViews>
    <workbookView xWindow="1830" yWindow="3015" windowWidth="21600" windowHeight="10320" activeTab="2" xr2:uid="{00000000-000D-0000-FFFF-FFFF00000000}"/>
  </bookViews>
  <sheets>
    <sheet name="Задание 2" sheetId="1" r:id="rId1"/>
    <sheet name="Задание 3" sheetId="2" r:id="rId2"/>
    <sheet name="Калькулятор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D3" i="2"/>
  <c r="E3" i="2" s="1"/>
  <c r="F3" i="2" s="1"/>
  <c r="D4" i="2"/>
  <c r="E4" i="2" s="1"/>
  <c r="D2" i="2"/>
  <c r="E2" i="2" s="1"/>
  <c r="F2" i="2" s="1"/>
  <c r="A1" i="1"/>
  <c r="C9" i="2" l="1"/>
  <c r="F4" i="2"/>
  <c r="F7" i="2" s="1"/>
  <c r="C10" i="2" l="1"/>
</calcChain>
</file>

<file path=xl/sharedStrings.xml><?xml version="1.0" encoding="utf-8"?>
<sst xmlns="http://schemas.openxmlformats.org/spreadsheetml/2006/main" count="13" uniqueCount="12">
  <si>
    <t>название</t>
  </si>
  <si>
    <t>цена</t>
  </si>
  <si>
    <t>кол-во</t>
  </si>
  <si>
    <t>налог</t>
  </si>
  <si>
    <t>Карандаш</t>
  </si>
  <si>
    <t>Ручка</t>
  </si>
  <si>
    <t>Крэк</t>
  </si>
  <si>
    <t>Общая без налога и скида</t>
  </si>
  <si>
    <t>С налогом</t>
  </si>
  <si>
    <t>Cо скидкой</t>
  </si>
  <si>
    <t>Cредняя стоимость</t>
  </si>
  <si>
    <t>Разница со скидкой и без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</si>
</sst>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'Задание 3'!$B$7</c:f>
              <c:strCache>
                <c:ptCount val="1"/>
                <c:pt idx="0">
                  <c:v>кол-во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'Задание 3'!$B$8:$B$10</c:f>
              <c:numCache>
                <c:formatCode>General</c:formatCode>
                <c:ptCount val="3"/>
                <c:pt idx="0">
                  <c:v>12</c:v>
                </c:pt>
                <c:pt idx="1">
                  <c:v>10</c:v>
                </c:pt>
                <c:pt idx="2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4-4C6D-B7D4-39CB6D222B2A}"/>
            </c:ext>
          </c:extLst>
        </c:ser>
        <c:ser>
          <c:idx val="1"/>
          <c:order val="1"/>
          <c:tx>
            <c:strRef>
              <c:f>'Задание 3'!$C$7</c:f>
              <c:strCache>
                <c:ptCount val="1"/>
                <c:pt idx="0">
                  <c:v>Разница со скидкой и без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'Задание 3'!$C$8:$C$10</c:f>
              <c:numCache>
                <c:formatCode>General</c:formatCode>
                <c:ptCount val="3"/>
                <c:pt idx="0">
                  <c:v>137.63400000000001</c:v>
                </c:pt>
                <c:pt idx="1">
                  <c:v>723.20000000000073</c:v>
                </c:pt>
                <c:pt idx="2">
                  <c:v>6452.864999999998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24-4C6D-B7D4-39CB6D222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48136504"/>
        <c:axId val="448135064"/>
        <c:axId val="696720304"/>
      </c:bar3DChart>
      <c:catAx>
        <c:axId val="448136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135064"/>
        <c:crosses val="autoZero"/>
        <c:auto val="1"/>
        <c:lblAlgn val="ctr"/>
        <c:lblOffset val="100"/>
        <c:noMultiLvlLbl val="0"/>
      </c:catAx>
      <c:valAx>
        <c:axId val="44813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136504"/>
        <c:crosses val="autoZero"/>
        <c:crossBetween val="between"/>
      </c:valAx>
      <c:serAx>
        <c:axId val="6967203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1350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5</xdr:col>
      <xdr:colOff>1019175</xdr:colOff>
      <xdr:row>25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379DFD0-013F-EFB2-097E-8C44F25632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47625</xdr:colOff>
          <xdr:row>1</xdr:row>
          <xdr:rowOff>1</xdr:rowOff>
        </xdr:from>
        <xdr:ext cx="495300" cy="228600"/>
        <xdr:sp macro="" textlink="">
          <xdr:nvSpPr>
            <xdr:cNvPr id="2049" name="Labe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Число 1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</xdr:row>
          <xdr:rowOff>0</xdr:rowOff>
        </xdr:from>
        <xdr:to>
          <xdr:col>2</xdr:col>
          <xdr:colOff>542925</xdr:colOff>
          <xdr:row>2</xdr:row>
          <xdr:rowOff>38100</xdr:rowOff>
        </xdr:to>
        <xdr:sp macro="" textlink="">
          <xdr:nvSpPr>
            <xdr:cNvPr id="2050" name="Label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F59D8C1-07B8-43B7-31AD-CC49FE4B6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Число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</xdr:row>
          <xdr:rowOff>0</xdr:rowOff>
        </xdr:from>
        <xdr:to>
          <xdr:col>3</xdr:col>
          <xdr:colOff>600075</xdr:colOff>
          <xdr:row>2</xdr:row>
          <xdr:rowOff>38100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FA42713-F4B1-B678-07D8-D18DE4CD6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Операция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0</xdr:rowOff>
        </xdr:from>
        <xdr:to>
          <xdr:col>4</xdr:col>
          <xdr:colOff>600075</xdr:colOff>
          <xdr:row>2</xdr:row>
          <xdr:rowOff>38100</xdr:rowOff>
        </xdr:to>
        <xdr:sp macro="" textlink="">
          <xdr:nvSpPr>
            <xdr:cNvPr id="2052" name="Label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38F1110A-39FD-47BC-6731-92FA490EF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Результат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1</xdr:col>
          <xdr:colOff>590550</xdr:colOff>
          <xdr:row>3</xdr:row>
          <xdr:rowOff>47625</xdr:rowOff>
        </xdr:to>
        <xdr:sp macro="" textlink="">
          <xdr:nvSpPr>
            <xdr:cNvPr id="2053" name="Text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2</xdr:col>
          <xdr:colOff>600075</xdr:colOff>
          <xdr:row>3</xdr:row>
          <xdr:rowOff>38100</xdr:rowOff>
        </xdr:to>
        <xdr:sp macro="" textlink="">
          <xdr:nvSpPr>
            <xdr:cNvPr id="2054" name="TextBox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9525</xdr:rowOff>
        </xdr:from>
        <xdr:to>
          <xdr:col>4</xdr:col>
          <xdr:colOff>0</xdr:colOff>
          <xdr:row>3</xdr:row>
          <xdr:rowOff>47625</xdr:rowOff>
        </xdr:to>
        <xdr:sp macro="" textlink="">
          <xdr:nvSpPr>
            <xdr:cNvPr id="2056" name="ComboBox1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5</xdr:col>
          <xdr:colOff>495300</xdr:colOff>
          <xdr:row>3</xdr:row>
          <xdr:rowOff>38100</xdr:rowOff>
        </xdr:to>
        <xdr:sp macro="" textlink="">
          <xdr:nvSpPr>
            <xdr:cNvPr id="2057" name="Label1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19050</xdr:rowOff>
        </xdr:from>
        <xdr:to>
          <xdr:col>4</xdr:col>
          <xdr:colOff>533400</xdr:colOff>
          <xdr:row>5</xdr:row>
          <xdr:rowOff>152400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trlProp" Target="../ctrlProps/ctrlProp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4.x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trlProp" Target="../ctrlProps/ctrlProp3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workbookViewId="0"/>
  </sheetViews>
  <sheetFormatPr defaultRowHeight="15" x14ac:dyDescent="0.25"/>
  <sheetData>
    <row r="1" spans="1:1" x14ac:dyDescent="0.25">
      <c r="A1">
        <f>Век("21.02.2024")</f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2177E-C24B-4FC5-8EB5-01F7433B3784}">
  <sheetPr codeName="Лист3"/>
  <dimension ref="A1:K10"/>
  <sheetViews>
    <sheetView topLeftCell="A4" workbookViewId="0">
      <selection activeCell="J17" sqref="J17"/>
    </sheetView>
  </sheetViews>
  <sheetFormatPr defaultRowHeight="15" x14ac:dyDescent="0.25"/>
  <cols>
    <col min="1" max="1" width="10.140625" bestFit="1" customWidth="1"/>
    <col min="4" max="4" width="24.85546875" bestFit="1" customWidth="1"/>
    <col min="5" max="5" width="10.28515625" bestFit="1" customWidth="1"/>
    <col min="6" max="6" width="18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9</v>
      </c>
      <c r="J1" t="s">
        <v>3</v>
      </c>
      <c r="K1" s="1">
        <v>0.13</v>
      </c>
    </row>
    <row r="2" spans="1:11" x14ac:dyDescent="0.25">
      <c r="A2" t="s">
        <v>4</v>
      </c>
      <c r="B2">
        <v>203</v>
      </c>
      <c r="C2">
        <v>12</v>
      </c>
      <c r="D2">
        <f>B2*C2</f>
        <v>2436</v>
      </c>
      <c r="E2">
        <f>D2+D2*$K$1</f>
        <v>2752.68</v>
      </c>
      <c r="F2">
        <f>_xlfn.IFS(C2&lt;10,E2,10&lt;C2&lt;20,E2-E2*0.03,C2&lt;100,E2-E2*0.05,C2&gt;100,E2-E2*0.1)</f>
        <v>2615.0459999999998</v>
      </c>
    </row>
    <row r="3" spans="1:11" x14ac:dyDescent="0.25">
      <c r="A3" t="s">
        <v>5</v>
      </c>
      <c r="B3">
        <v>256</v>
      </c>
      <c r="C3">
        <v>50</v>
      </c>
      <c r="D3">
        <f t="shared" ref="D3:D4" si="0">B3*C3</f>
        <v>12800</v>
      </c>
      <c r="E3">
        <f t="shared" ref="E3:E4" si="1">D3+D3*$K$1</f>
        <v>14464</v>
      </c>
      <c r="F3">
        <f t="shared" ref="F3:F4" si="2">_xlfn.IFS(C3&lt;10,E3,10&lt;C3&lt;20,E3-E3*0.03,C3&lt;100,E3-E3*0.05,C3&gt;100,E3-E3*0.1)</f>
        <v>13740.8</v>
      </c>
    </row>
    <row r="4" spans="1:11" x14ac:dyDescent="0.25">
      <c r="A4" t="s">
        <v>6</v>
      </c>
      <c r="B4">
        <v>243</v>
      </c>
      <c r="C4">
        <v>235</v>
      </c>
      <c r="D4">
        <f t="shared" si="0"/>
        <v>57105</v>
      </c>
      <c r="E4">
        <f t="shared" si="1"/>
        <v>64528.65</v>
      </c>
      <c r="F4">
        <f t="shared" si="2"/>
        <v>58075.785000000003</v>
      </c>
    </row>
    <row r="6" spans="1:11" x14ac:dyDescent="0.25">
      <c r="F6" t="s">
        <v>10</v>
      </c>
    </row>
    <row r="7" spans="1:11" x14ac:dyDescent="0.25">
      <c r="B7" t="s">
        <v>2</v>
      </c>
      <c r="C7" t="s">
        <v>11</v>
      </c>
      <c r="F7">
        <f>AVERAGE(F2:F4)</f>
        <v>24810.543666666668</v>
      </c>
    </row>
    <row r="8" spans="1:11" x14ac:dyDescent="0.25">
      <c r="B8">
        <v>12</v>
      </c>
      <c r="C8">
        <f>E2-F2</f>
        <v>137.63400000000001</v>
      </c>
    </row>
    <row r="9" spans="1:11" x14ac:dyDescent="0.25">
      <c r="B9">
        <v>10</v>
      </c>
      <c r="C9">
        <f>E3-F3</f>
        <v>723.20000000000073</v>
      </c>
    </row>
    <row r="10" spans="1:11" x14ac:dyDescent="0.25">
      <c r="B10">
        <v>234</v>
      </c>
      <c r="C10">
        <f>E4-F4</f>
        <v>6452.864999999998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E9ABB-35F0-419D-ADA4-17B8153CB66D}">
  <sheetPr codeName="Лист2"/>
  <dimension ref="A1"/>
  <sheetViews>
    <sheetView tabSelected="1" workbookViewId="0">
      <selection activeCell="G3" sqref="G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9" r:id="rId3" name="CommandButton1">
          <controlPr defaultSize="0" autoLine="0" r:id="rId4">
            <anchor moveWithCells="1">
              <from>
                <xdr:col>1</xdr:col>
                <xdr:colOff>19050</xdr:colOff>
                <xdr:row>4</xdr:row>
                <xdr:rowOff>19050</xdr:rowOff>
              </from>
              <to>
                <xdr:col>4</xdr:col>
                <xdr:colOff>533400</xdr:colOff>
                <xdr:row>5</xdr:row>
                <xdr:rowOff>152400</xdr:rowOff>
              </to>
            </anchor>
          </controlPr>
        </control>
      </mc:Choice>
      <mc:Fallback>
        <control shapeId="2059" r:id="rId3" name="CommandButton1"/>
      </mc:Fallback>
    </mc:AlternateContent>
    <mc:AlternateContent xmlns:mc="http://schemas.openxmlformats.org/markup-compatibility/2006">
      <mc:Choice Requires="x14">
        <control shapeId="2057" r:id="rId5" name="Label1">
          <controlPr defaultSize="0" autoLine="0" autoPict="0" r:id="rId6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5</xdr:col>
                <xdr:colOff>495300</xdr:colOff>
                <xdr:row>3</xdr:row>
                <xdr:rowOff>38100</xdr:rowOff>
              </to>
            </anchor>
          </controlPr>
        </control>
      </mc:Choice>
      <mc:Fallback>
        <control shapeId="2057" r:id="rId5" name="Label1"/>
      </mc:Fallback>
    </mc:AlternateContent>
    <mc:AlternateContent xmlns:mc="http://schemas.openxmlformats.org/markup-compatibility/2006">
      <mc:Choice Requires="x14">
        <control shapeId="2056" r:id="rId7" name="ComboBox1">
          <controlPr defaultSize="0" autoLine="0" autoPict="0" r:id="rId8">
            <anchor moveWithCells="1">
              <from>
                <xdr:col>3</xdr:col>
                <xdr:colOff>9525</xdr:colOff>
                <xdr:row>2</xdr:row>
                <xdr:rowOff>9525</xdr:rowOff>
              </from>
              <to>
                <xdr:col>4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2056" r:id="rId7" name="ComboBox1"/>
      </mc:Fallback>
    </mc:AlternateContent>
    <mc:AlternateContent xmlns:mc="http://schemas.openxmlformats.org/markup-compatibility/2006">
      <mc:Choice Requires="x14">
        <control shapeId="2054" r:id="rId9" name="TextBox2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2</xdr:col>
                <xdr:colOff>600075</xdr:colOff>
                <xdr:row>3</xdr:row>
                <xdr:rowOff>38100</xdr:rowOff>
              </to>
            </anchor>
          </controlPr>
        </control>
      </mc:Choice>
      <mc:Fallback>
        <control shapeId="2054" r:id="rId9" name="TextBox2"/>
      </mc:Fallback>
    </mc:AlternateContent>
    <mc:AlternateContent xmlns:mc="http://schemas.openxmlformats.org/markup-compatibility/2006">
      <mc:Choice Requires="x14">
        <control shapeId="2053" r:id="rId11" name="TextBox1">
          <controlPr defaultSize="0" autoLine="0" autoPict="0" r:id="rId12">
            <anchor moveWithCells="1">
              <from>
                <xdr:col>1</xdr:col>
                <xdr:colOff>0</xdr:colOff>
                <xdr:row>2</xdr:row>
                <xdr:rowOff>9525</xdr:rowOff>
              </from>
              <to>
                <xdr:col>1</xdr:col>
                <xdr:colOff>590550</xdr:colOff>
                <xdr:row>3</xdr:row>
                <xdr:rowOff>47625</xdr:rowOff>
              </to>
            </anchor>
          </controlPr>
        </control>
      </mc:Choice>
      <mc:Fallback>
        <control shapeId="2053" r:id="rId11" name="TextBox1"/>
      </mc:Fallback>
    </mc:AlternateContent>
    <mc:AlternateContent xmlns:mc="http://schemas.openxmlformats.org/markup-compatibility/2006">
      <mc:Choice Requires="x14">
        <control shapeId="2049" r:id="rId13" name="Label 1">
          <controlPr defaultSize="0" autoFill="0" autoLine="0" autoPict="0">
            <anchor moveWithCells="1">
              <from>
                <xdr:col>1</xdr:col>
                <xdr:colOff>47625</xdr:colOff>
                <xdr:row>1</xdr:row>
                <xdr:rowOff>0</xdr:rowOff>
              </from>
              <to>
                <xdr:col>1</xdr:col>
                <xdr:colOff>542925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4" name="Label 2">
          <controlPr defaultSize="0" autoFill="0" autoLine="0" autoPict="0">
            <anchor moveWithCells="1">
              <from>
                <xdr:col>2</xdr:col>
                <xdr:colOff>47625</xdr:colOff>
                <xdr:row>1</xdr:row>
                <xdr:rowOff>0</xdr:rowOff>
              </from>
              <to>
                <xdr:col>2</xdr:col>
                <xdr:colOff>542925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15" name="Label 3">
          <controlPr defaultSize="0" autoFill="0" autoLine="0" autoPict="0">
            <anchor moveWithCells="1">
              <from>
                <xdr:col>3</xdr:col>
                <xdr:colOff>47625</xdr:colOff>
                <xdr:row>1</xdr:row>
                <xdr:rowOff>0</xdr:rowOff>
              </from>
              <to>
                <xdr:col>3</xdr:col>
                <xdr:colOff>600075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6" name="Label 4">
          <controlPr defaultSize="0" autoFill="0" autoLine="0" autoPict="0">
            <anchor moveWithCells="1">
              <from>
                <xdr:col>4</xdr:col>
                <xdr:colOff>47625</xdr:colOff>
                <xdr:row>1</xdr:row>
                <xdr:rowOff>0</xdr:rowOff>
              </from>
              <to>
                <xdr:col>4</xdr:col>
                <xdr:colOff>600075</xdr:colOff>
                <xdr:row>2</xdr:row>
                <xdr:rowOff>38100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 2</vt:lpstr>
      <vt:lpstr>Задание 3</vt:lpstr>
      <vt:lpstr>Калькулятор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Шильников</dc:creator>
  <cp:lastModifiedBy>Максим Шильников</cp:lastModifiedBy>
  <dcterms:created xsi:type="dcterms:W3CDTF">2015-06-05T18:19:34Z</dcterms:created>
  <dcterms:modified xsi:type="dcterms:W3CDTF">2025-11-27T20:40:06Z</dcterms:modified>
</cp:coreProperties>
</file>