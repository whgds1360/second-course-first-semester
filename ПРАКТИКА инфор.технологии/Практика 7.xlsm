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Second_year_of_college\ПРАКТИКА инфор.технологии\"/>
    </mc:Choice>
  </mc:AlternateContent>
  <xr:revisionPtr revIDLastSave="0" documentId="13_ncr:1_{8BA3A6B0-7EAE-4557-9C30-5433894FFB29}" xr6:coauthVersionLast="47" xr6:coauthVersionMax="47" xr10:uidLastSave="{00000000-0000-0000-0000-000000000000}"/>
  <bookViews>
    <workbookView xWindow="2310" yWindow="3690" windowWidth="21600" windowHeight="8505" activeTab="5" xr2:uid="{623A4870-53AD-45FB-BBB3-5CE6E53AB0A5}"/>
  </bookViews>
  <sheets>
    <sheet name="Лист1" sheetId="1" r:id="rId1"/>
    <sheet name="Лист2" sheetId="2" r:id="rId2"/>
    <sheet name="Лист3" sheetId="3" r:id="rId3"/>
    <sheet name="Лист4" sheetId="5" r:id="rId4"/>
    <sheet name="Лист5" sheetId="6" r:id="rId5"/>
    <sheet name="Лист6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2" i="5"/>
  <c r="L5" i="2"/>
  <c r="I5" i="2"/>
  <c r="N2" i="1"/>
  <c r="N3" i="1"/>
  <c r="M2" i="1"/>
  <c r="J2" i="1"/>
  <c r="I2" i="1"/>
  <c r="A1" i="7"/>
  <c r="A1" i="6"/>
</calcChain>
</file>

<file path=xl/sharedStrings.xml><?xml version="1.0" encoding="utf-8"?>
<sst xmlns="http://schemas.openxmlformats.org/spreadsheetml/2006/main" count="46" uniqueCount="27">
  <si>
    <t>№ студ билета</t>
  </si>
  <si>
    <t>ФИО</t>
  </si>
  <si>
    <t>Курс</t>
  </si>
  <si>
    <t>Специальность</t>
  </si>
  <si>
    <t>Группа</t>
  </si>
  <si>
    <t>Дата рождения</t>
  </si>
  <si>
    <t>Номер телефона</t>
  </si>
  <si>
    <t>ИСП</t>
  </si>
  <si>
    <t>ЮР</t>
  </si>
  <si>
    <t>Зк</t>
  </si>
  <si>
    <t>ПСО</t>
  </si>
  <si>
    <t>МР</t>
  </si>
  <si>
    <t>Фк</t>
  </si>
  <si>
    <t>ДО</t>
  </si>
  <si>
    <t>ПНК</t>
  </si>
  <si>
    <t>+7234567844</t>
  </si>
  <si>
    <t>12.12.2001</t>
  </si>
  <si>
    <t>12.12.2002</t>
  </si>
  <si>
    <t>12.12.2003</t>
  </si>
  <si>
    <t>12.12.2004</t>
  </si>
  <si>
    <t>12.12.2005</t>
  </si>
  <si>
    <t>12.12.2006</t>
  </si>
  <si>
    <t>12.12.2007</t>
  </si>
  <si>
    <t>12.12.2008</t>
  </si>
  <si>
    <t>12.12.2009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</si>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</sst>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5117038483843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49" fontId="1" fillId="7" borderId="2" xfId="0" applyNumberFormat="1" applyFont="1" applyFill="1" applyBorder="1" applyAlignment="1">
      <alignment horizontal="center" vertical="center"/>
    </xf>
    <xf numFmtId="49" fontId="1" fillId="8" borderId="2" xfId="0" applyNumberFormat="1" applyFont="1" applyFill="1" applyBorder="1" applyAlignment="1">
      <alignment horizontal="center" vertical="center"/>
    </xf>
    <xf numFmtId="0" fontId="0" fillId="9" borderId="4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Лист4!$B$1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Лист4!$A$2:$A$10</c:f>
              <c:numCache>
                <c:formatCode>General</c:formatCode>
                <c:ptCount val="9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</c:numCache>
            </c:numRef>
          </c:xVal>
          <c:yVal>
            <c:numRef>
              <c:f>Лист4!$B$2:$B$10</c:f>
              <c:numCache>
                <c:formatCode>General</c:formatCode>
                <c:ptCount val="9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28-4E7A-BF3D-EF4761C5E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925688"/>
        <c:axId val="669920648"/>
      </c:scatterChart>
      <c:valAx>
        <c:axId val="669925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920648"/>
        <c:crosses val="autoZero"/>
        <c:crossBetween val="midCat"/>
      </c:valAx>
      <c:valAx>
        <c:axId val="66992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92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6</xdr:rowOff>
    </xdr:from>
    <xdr:to>
      <xdr:col>14</xdr:col>
      <xdr:colOff>304800</xdr:colOff>
      <xdr:row>14</xdr:row>
      <xdr:rowOff>76206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207D6BD8-6D23-B9FE-FFAD-A99AB9523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E3086-184E-446E-B888-60706EE04145}">
  <sheetPr codeName="Лист1"/>
  <dimension ref="A1:N10"/>
  <sheetViews>
    <sheetView workbookViewId="0">
      <selection activeCell="M2" sqref="M2"/>
    </sheetView>
  </sheetViews>
  <sheetFormatPr defaultRowHeight="15" x14ac:dyDescent="0.25"/>
  <cols>
    <col min="1" max="1" width="10" bestFit="1" customWidth="1"/>
    <col min="2" max="2" width="7.85546875" bestFit="1" customWidth="1"/>
    <col min="3" max="3" width="7.28515625" bestFit="1" customWidth="1"/>
    <col min="4" max="4" width="21" bestFit="1" customWidth="1"/>
    <col min="5" max="5" width="10.28515625" bestFit="1" customWidth="1"/>
    <col min="6" max="6" width="20.28515625" bestFit="1" customWidth="1"/>
    <col min="7" max="7" width="22.140625" bestFit="1" customWidth="1"/>
    <col min="13" max="13" width="10.140625" bestFit="1" customWidth="1"/>
  </cols>
  <sheetData>
    <row r="1" spans="1:14" ht="37.5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4" ht="18.75" x14ac:dyDescent="0.25">
      <c r="A2" s="5">
        <v>123456</v>
      </c>
      <c r="B2" s="6"/>
      <c r="C2" s="7">
        <v>2</v>
      </c>
      <c r="D2" s="8" t="s">
        <v>9</v>
      </c>
      <c r="E2" s="13">
        <v>101</v>
      </c>
      <c r="F2" s="17" t="s">
        <v>16</v>
      </c>
      <c r="G2" s="18" t="s">
        <v>15</v>
      </c>
      <c r="H2" s="15" t="s">
        <v>15</v>
      </c>
      <c r="I2">
        <f>LEN(H2)</f>
        <v>11</v>
      </c>
      <c r="J2" t="b">
        <f>AND(LEFT(H2,2)="+7", LEN(H2)=11)</f>
        <v>1</v>
      </c>
      <c r="M2" s="16">
        <f>DATE(2001,12,12)</f>
        <v>37237</v>
      </c>
      <c r="N2" t="b">
        <f>TEXT(M2,"ДД.ММ.ГГГГ") = M2</f>
        <v>0</v>
      </c>
    </row>
    <row r="3" spans="1:14" ht="18.75" x14ac:dyDescent="0.25">
      <c r="A3" s="5">
        <v>234567</v>
      </c>
      <c r="B3" s="6"/>
      <c r="C3" s="7">
        <v>3</v>
      </c>
      <c r="D3" s="8" t="s">
        <v>8</v>
      </c>
      <c r="E3" s="13">
        <v>102</v>
      </c>
      <c r="F3" s="17" t="s">
        <v>17</v>
      </c>
      <c r="G3" s="18" t="s">
        <v>15</v>
      </c>
      <c r="M3" s="15" t="s">
        <v>16</v>
      </c>
      <c r="N3" t="b">
        <f>TEXT(M3,"ДД.ММ.ГГГГ") = M3</f>
        <v>1</v>
      </c>
    </row>
    <row r="4" spans="1:14" ht="18.75" x14ac:dyDescent="0.25">
      <c r="A4" s="5">
        <v>345678</v>
      </c>
      <c r="B4" s="6"/>
      <c r="C4" s="7">
        <v>3</v>
      </c>
      <c r="D4" s="8" t="s">
        <v>10</v>
      </c>
      <c r="E4" s="13">
        <v>103</v>
      </c>
      <c r="F4" s="17" t="s">
        <v>18</v>
      </c>
      <c r="G4" s="18" t="s">
        <v>15</v>
      </c>
    </row>
    <row r="5" spans="1:14" ht="18.75" x14ac:dyDescent="0.25">
      <c r="A5" s="5">
        <v>456789</v>
      </c>
      <c r="B5" s="6"/>
      <c r="C5" s="7">
        <v>4</v>
      </c>
      <c r="D5" s="8" t="s">
        <v>7</v>
      </c>
      <c r="E5" s="13">
        <v>104</v>
      </c>
      <c r="F5" s="17" t="s">
        <v>19</v>
      </c>
      <c r="G5" s="18" t="s">
        <v>15</v>
      </c>
    </row>
    <row r="6" spans="1:14" ht="18.75" x14ac:dyDescent="0.25">
      <c r="A6" s="5">
        <v>567891</v>
      </c>
      <c r="B6" s="6"/>
      <c r="C6" s="7">
        <v>1</v>
      </c>
      <c r="D6" s="8" t="s">
        <v>11</v>
      </c>
      <c r="E6" s="13">
        <v>201</v>
      </c>
      <c r="F6" s="17" t="s">
        <v>20</v>
      </c>
      <c r="G6" s="18" t="s">
        <v>15</v>
      </c>
    </row>
    <row r="7" spans="1:14" ht="18.75" x14ac:dyDescent="0.25">
      <c r="A7" s="5">
        <v>678912</v>
      </c>
      <c r="B7" s="6"/>
      <c r="C7" s="7">
        <v>3</v>
      </c>
      <c r="D7" s="8" t="s">
        <v>12</v>
      </c>
      <c r="E7" s="13">
        <v>202</v>
      </c>
      <c r="F7" s="17" t="s">
        <v>21</v>
      </c>
      <c r="G7" s="18" t="s">
        <v>15</v>
      </c>
    </row>
    <row r="8" spans="1:14" ht="18.75" x14ac:dyDescent="0.25">
      <c r="A8" s="5">
        <v>789123</v>
      </c>
      <c r="B8" s="6"/>
      <c r="C8" s="7">
        <v>1</v>
      </c>
      <c r="D8" s="8" t="s">
        <v>13</v>
      </c>
      <c r="E8" s="13">
        <v>203</v>
      </c>
      <c r="F8" s="17" t="s">
        <v>22</v>
      </c>
      <c r="G8" s="18" t="s">
        <v>15</v>
      </c>
    </row>
    <row r="9" spans="1:14" ht="18.75" x14ac:dyDescent="0.25">
      <c r="A9" s="5">
        <v>891234</v>
      </c>
      <c r="B9" s="6"/>
      <c r="C9" s="7">
        <v>3</v>
      </c>
      <c r="D9" s="8" t="s">
        <v>13</v>
      </c>
      <c r="E9" s="13">
        <v>204</v>
      </c>
      <c r="F9" s="17" t="s">
        <v>23</v>
      </c>
      <c r="G9" s="18" t="s">
        <v>15</v>
      </c>
    </row>
    <row r="10" spans="1:14" ht="18.75" x14ac:dyDescent="0.25">
      <c r="A10" s="5">
        <v>912345</v>
      </c>
      <c r="B10" s="9"/>
      <c r="C10" s="10">
        <v>4</v>
      </c>
      <c r="D10" s="11" t="s">
        <v>14</v>
      </c>
      <c r="E10" s="14">
        <v>103</v>
      </c>
      <c r="F10" s="17" t="s">
        <v>24</v>
      </c>
      <c r="G10" s="18" t="s">
        <v>15</v>
      </c>
    </row>
  </sheetData>
  <phoneticPr fontId="4" type="noConversion"/>
  <dataValidations count="4">
    <dataValidation type="custom" allowBlank="1" showInputMessage="1" showErrorMessage="1" errorTitle="Ошибка ввода!" error="Нельзя вводить повторяющиеся значения" sqref="B2:B10" xr:uid="{A135834E-2491-42ED-9D5C-B05BB2376AEE}">
      <formula1>COUNTIF($A$2:$G$10,B6) &lt;=1</formula1>
    </dataValidation>
    <dataValidation type="custom" allowBlank="1" showInputMessage="1" showErrorMessage="1" errorTitle="Ошибка ввода!" error="Нельзя вводить повторяющиеся значения или значения состоящие НЕ из 6 символов." sqref="A2:A10" xr:uid="{CC361F61-15D5-401A-833C-A6FE8A456950}">
      <formula1>AND(COUNTIF($A$2:$A$11,A2)&lt;=1, LEN(A2)=6)</formula1>
    </dataValidation>
    <dataValidation type="custom" allowBlank="1" showInputMessage="1" showErrorMessage="1" errorTitle="Ошибка ввода!" error="Дата не соответсвует формату ДД.ММ.ГГГГ" sqref="F2:F10" xr:uid="{B1833825-5375-4CEF-AF34-4A52CC8D3C31}">
      <formula1>TEXT(F2,"ДД.ММ.ГГГГ") = F2</formula1>
    </dataValidation>
    <dataValidation type="custom" allowBlank="1" showInputMessage="1" showErrorMessage="1" errorTitle="Ошибка ввода!" error="Начало с +7 и кол-во цифр = 11!" sqref="G2:G10" xr:uid="{142A0F7D-779F-4535-A8E4-C2A1AF1B404F}">
      <formula1>AND(LEFT(G2,2)="+7", LEN(G2)=11)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Ошибка ввода!" error="Нельзя вводить повторяющиеся значения" xr:uid="{89322FB5-2AB1-4524-A9EF-17189DB7D241}">
          <x14:formula1>
            <xm:f>Лист2!$A$1:$A$4</xm:f>
          </x14:formula1>
          <xm:sqref>C2:C10</xm:sqref>
        </x14:dataValidation>
        <x14:dataValidation type="list" allowBlank="1" showInputMessage="1" showErrorMessage="1" xr:uid="{3B73FE8D-DD5E-4142-A782-0A3B94778A69}">
          <x14:formula1>
            <xm:f>Лист2!$C$1:$C$8</xm:f>
          </x14:formula1>
          <xm:sqref>D2:D10</xm:sqref>
        </x14:dataValidation>
        <x14:dataValidation type="list" allowBlank="1" showInputMessage="1" showErrorMessage="1" errorTitle="Ошибка ввода!" error="Нельзя вводить повторяющиеся значения" xr:uid="{CACD5682-CBDB-4E4D-8663-9B0F74C7D07A}">
          <x14:formula1>
            <xm:f>Лист2!$E$1:$E$10</xm:f>
          </x14:formula1>
          <xm:sqref>E2:E10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0DFF5-A606-4D6D-BE44-4298797D7E56}">
  <sheetPr codeName="Лист2"/>
  <dimension ref="A1:L10"/>
  <sheetViews>
    <sheetView workbookViewId="0">
      <selection activeCell="K5" sqref="K5"/>
    </sheetView>
  </sheetViews>
  <sheetFormatPr defaultRowHeight="15" x14ac:dyDescent="0.25"/>
  <cols>
    <col min="9" max="9" width="9.140625" style="15"/>
  </cols>
  <sheetData>
    <row r="1" spans="1:12" ht="20.25" thickTop="1" thickBot="1" x14ac:dyDescent="0.3">
      <c r="A1" s="1">
        <v>1</v>
      </c>
      <c r="C1" s="4" t="s">
        <v>7</v>
      </c>
      <c r="E1" s="12">
        <v>101</v>
      </c>
      <c r="G1" s="19"/>
      <c r="I1">
        <v>10</v>
      </c>
      <c r="K1">
        <v>1</v>
      </c>
    </row>
    <row r="2" spans="1:12" ht="19.5" thickBot="1" x14ac:dyDescent="0.3">
      <c r="A2" s="1">
        <v>2</v>
      </c>
      <c r="C2" s="4" t="s">
        <v>8</v>
      </c>
      <c r="E2" s="12">
        <v>102</v>
      </c>
      <c r="I2">
        <v>20</v>
      </c>
      <c r="K2">
        <v>2</v>
      </c>
    </row>
    <row r="3" spans="1:12" ht="19.5" thickBot="1" x14ac:dyDescent="0.3">
      <c r="A3" s="1">
        <v>3</v>
      </c>
      <c r="C3" s="4" t="s">
        <v>9</v>
      </c>
      <c r="E3" s="12">
        <v>103</v>
      </c>
      <c r="I3">
        <v>30</v>
      </c>
      <c r="K3">
        <v>3</v>
      </c>
    </row>
    <row r="4" spans="1:12" ht="19.5" thickBot="1" x14ac:dyDescent="0.3">
      <c r="A4" s="1">
        <v>4</v>
      </c>
      <c r="C4" s="4" t="s">
        <v>10</v>
      </c>
      <c r="E4" s="12">
        <v>104</v>
      </c>
      <c r="I4">
        <v>40</v>
      </c>
      <c r="K4">
        <v>4</v>
      </c>
    </row>
    <row r="5" spans="1:12" ht="19.5" thickBot="1" x14ac:dyDescent="0.3">
      <c r="C5" s="4" t="s">
        <v>11</v>
      </c>
      <c r="E5" s="12">
        <v>201</v>
      </c>
      <c r="I5">
        <f>AVERAGE(I1:I4)</f>
        <v>25</v>
      </c>
      <c r="K5">
        <v>5</v>
      </c>
      <c r="L5">
        <f>SUMPRODUCT(K:K,K:K)</f>
        <v>55</v>
      </c>
    </row>
    <row r="6" spans="1:12" ht="19.5" thickBot="1" x14ac:dyDescent="0.3">
      <c r="C6" s="4" t="s">
        <v>12</v>
      </c>
      <c r="E6" s="12">
        <v>202</v>
      </c>
    </row>
    <row r="7" spans="1:12" ht="19.5" thickBot="1" x14ac:dyDescent="0.3">
      <c r="C7" s="4" t="s">
        <v>13</v>
      </c>
      <c r="E7" s="12">
        <v>203</v>
      </c>
    </row>
    <row r="8" spans="1:12" ht="19.5" thickBot="1" x14ac:dyDescent="0.3">
      <c r="C8" s="4" t="s">
        <v>14</v>
      </c>
      <c r="E8" s="12">
        <v>204</v>
      </c>
    </row>
    <row r="9" spans="1:12" ht="19.5" thickBot="1" x14ac:dyDescent="0.3">
      <c r="E9" s="12">
        <v>301</v>
      </c>
    </row>
    <row r="10" spans="1:12" ht="19.5" thickBot="1" x14ac:dyDescent="0.3">
      <c r="E10" s="12">
        <v>302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16184-921D-4101-AE29-C8B56CBE54E1}">
  <sheetPr codeName="Лист3"/>
  <dimension ref="A1:A7"/>
  <sheetViews>
    <sheetView workbookViewId="0">
      <selection activeCell="B4" sqref="B4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80FCF-D6A2-4A44-8FCB-D250A343ABB8}">
  <sheetPr codeName="Лист4"/>
  <dimension ref="A1:B10"/>
  <sheetViews>
    <sheetView workbookViewId="0">
      <selection activeCell="P8" sqref="P8"/>
    </sheetView>
  </sheetViews>
  <sheetFormatPr defaultRowHeight="15" x14ac:dyDescent="0.25"/>
  <sheetData>
    <row r="1" spans="1:2" x14ac:dyDescent="0.25">
      <c r="A1" t="s">
        <v>25</v>
      </c>
      <c r="B1" t="s">
        <v>26</v>
      </c>
    </row>
    <row r="2" spans="1:2" x14ac:dyDescent="0.25">
      <c r="A2">
        <v>-10</v>
      </c>
      <c r="B2">
        <f>A2*2</f>
        <v>-20</v>
      </c>
    </row>
    <row r="3" spans="1:2" x14ac:dyDescent="0.25">
      <c r="A3">
        <v>-9</v>
      </c>
      <c r="B3">
        <f t="shared" ref="B3:B10" si="0">A3*2</f>
        <v>-18</v>
      </c>
    </row>
    <row r="4" spans="1:2" x14ac:dyDescent="0.25">
      <c r="A4">
        <v>-8</v>
      </c>
      <c r="B4">
        <f t="shared" si="0"/>
        <v>-16</v>
      </c>
    </row>
    <row r="5" spans="1:2" x14ac:dyDescent="0.25">
      <c r="A5">
        <v>-7</v>
      </c>
      <c r="B5">
        <f t="shared" si="0"/>
        <v>-14</v>
      </c>
    </row>
    <row r="6" spans="1:2" x14ac:dyDescent="0.25">
      <c r="A6">
        <v>-6</v>
      </c>
      <c r="B6">
        <f t="shared" si="0"/>
        <v>-12</v>
      </c>
    </row>
    <row r="7" spans="1:2" x14ac:dyDescent="0.25">
      <c r="A7">
        <v>-5</v>
      </c>
      <c r="B7">
        <f t="shared" si="0"/>
        <v>-10</v>
      </c>
    </row>
    <row r="8" spans="1:2" x14ac:dyDescent="0.25">
      <c r="A8">
        <v>-4</v>
      </c>
      <c r="B8">
        <f t="shared" si="0"/>
        <v>-8</v>
      </c>
    </row>
    <row r="9" spans="1:2" x14ac:dyDescent="0.25">
      <c r="A9">
        <v>-3</v>
      </c>
      <c r="B9">
        <f t="shared" si="0"/>
        <v>-6</v>
      </c>
    </row>
    <row r="10" spans="1:2" x14ac:dyDescent="0.25">
      <c r="A10">
        <v>-2</v>
      </c>
      <c r="B10">
        <f t="shared" si="0"/>
        <v>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EDFC3-A374-4593-A9D9-8119A27A531C}">
  <sheetPr codeName="Лист5"/>
  <dimension ref="A1"/>
  <sheetViews>
    <sheetView workbookViewId="0"/>
  </sheetViews>
  <sheetFormatPr defaultRowHeight="15" x14ac:dyDescent="0.25"/>
  <cols>
    <col min="1" max="1" width="17.42578125" bestFit="1" customWidth="1"/>
  </cols>
  <sheetData>
    <row r="1" spans="1:1" x14ac:dyDescent="0.25">
      <c r="A1" t="str">
        <f>Индекс_Кетле(168,60)</f>
        <v>Излишняя худоба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5092-909D-41B7-B715-F8410686BF10}">
  <sheetPr codeName="Лист6"/>
  <dimension ref="A1"/>
  <sheetViews>
    <sheetView tabSelected="1" workbookViewId="0"/>
  </sheetViews>
  <sheetFormatPr defaultRowHeight="15" x14ac:dyDescent="0.25"/>
  <sheetData>
    <row r="1" spans="1:1" x14ac:dyDescent="0.25">
      <c r="A1">
        <f>BurnoutIndex(8,3,"30.11.2025")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Лист2</vt:lpstr>
      <vt:lpstr>Лист3</vt:lpstr>
      <vt:lpstr>Лист4</vt:lpstr>
      <vt:lpstr>Лист5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Шильников</dc:creator>
  <cp:lastModifiedBy>Максим Шильников</cp:lastModifiedBy>
  <dcterms:created xsi:type="dcterms:W3CDTF">2025-11-24T20:13:49Z</dcterms:created>
  <dcterms:modified xsi:type="dcterms:W3CDTF">2025-11-25T17:57:41Z</dcterms:modified>
</cp:coreProperties>
</file>