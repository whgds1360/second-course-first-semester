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Second_year_of_college\ПРАКТИКА инфор.технологии\Практика 5\"/>
    </mc:Choice>
  </mc:AlternateContent>
  <xr:revisionPtr revIDLastSave="0" documentId="13_ncr:1_{EE9AEADF-884E-49B0-989D-3267CFC24D0D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Январь" sheetId="1" r:id="rId1"/>
    <sheet name="Февраль" sheetId="2" r:id="rId2"/>
    <sheet name="Март" sheetId="3" r:id="rId3"/>
    <sheet name="Итог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  <c r="C18" i="4"/>
  <c r="C19" i="4"/>
  <c r="C20" i="4"/>
  <c r="C22" i="4"/>
  <c r="C25" i="4" s="1"/>
  <c r="C23" i="4"/>
  <c r="C24" i="4"/>
  <c r="C26" i="4"/>
  <c r="C27" i="4"/>
  <c r="C28" i="4"/>
  <c r="C29" i="4"/>
  <c r="C30" i="4"/>
  <c r="C31" i="4"/>
  <c r="C32" i="4"/>
  <c r="C15" i="4"/>
  <c r="C16" i="4"/>
  <c r="C17" i="4"/>
  <c r="C9" i="4"/>
  <c r="C10" i="4"/>
  <c r="C11" i="4"/>
  <c r="C6" i="4"/>
  <c r="C7" i="4"/>
  <c r="C8" i="4"/>
  <c r="B3" i="4"/>
  <c r="B4" i="4"/>
  <c r="B5" i="4"/>
  <c r="B133" i="4"/>
  <c r="B137" i="4"/>
  <c r="B141" i="4"/>
  <c r="B146" i="4"/>
  <c r="B147" i="4"/>
  <c r="B148" i="4"/>
  <c r="B150" i="4"/>
  <c r="B151" i="4"/>
  <c r="B152" i="4"/>
  <c r="B154" i="4"/>
  <c r="B155" i="4"/>
  <c r="B156" i="4"/>
  <c r="H8" i="3"/>
  <c r="G8" i="3"/>
  <c r="I8" i="3" s="1"/>
  <c r="I7" i="3"/>
  <c r="H7" i="3"/>
  <c r="G7" i="3"/>
  <c r="H6" i="3"/>
  <c r="G6" i="3"/>
  <c r="I6" i="3" s="1"/>
  <c r="H5" i="3"/>
  <c r="G5" i="3"/>
  <c r="I5" i="3" s="1"/>
  <c r="H4" i="3"/>
  <c r="G4" i="3"/>
  <c r="I4" i="3" s="1"/>
  <c r="H8" i="2"/>
  <c r="G8" i="2"/>
  <c r="I8" i="2" s="1"/>
  <c r="I7" i="2"/>
  <c r="H7" i="2"/>
  <c r="G7" i="2"/>
  <c r="H6" i="2"/>
  <c r="G6" i="2"/>
  <c r="I6" i="2" s="1"/>
  <c r="H5" i="2"/>
  <c r="G5" i="2"/>
  <c r="I5" i="2" s="1"/>
  <c r="G4" i="2"/>
  <c r="I4" i="2" s="1"/>
  <c r="I5" i="1"/>
  <c r="I6" i="1"/>
  <c r="I7" i="1"/>
  <c r="I8" i="1"/>
  <c r="I4" i="1"/>
  <c r="H5" i="1"/>
  <c r="H6" i="1"/>
  <c r="H7" i="1"/>
  <c r="H8" i="1"/>
  <c r="H4" i="1"/>
  <c r="G5" i="1"/>
  <c r="G6" i="1"/>
  <c r="G7" i="1"/>
  <c r="G8" i="1"/>
  <c r="G4" i="1"/>
  <c r="C42" i="4" l="1"/>
  <c r="C70" i="4"/>
  <c r="C74" i="4" s="1"/>
  <c r="C21" i="4"/>
  <c r="C78" i="4"/>
  <c r="B149" i="4"/>
  <c r="B157" i="4"/>
  <c r="B145" i="4"/>
  <c r="B42" i="4"/>
  <c r="B153" i="4"/>
  <c r="C82" i="4" l="1"/>
  <c r="C83" i="4"/>
  <c r="C84" i="4" l="1"/>
  <c r="C85" i="4" l="1"/>
  <c r="C86" i="4"/>
  <c r="C87" i="4" l="1"/>
  <c r="C88" i="4" l="1"/>
  <c r="C89" i="4"/>
  <c r="C90" i="4" l="1"/>
  <c r="C91" i="4" l="1"/>
  <c r="C92" i="4"/>
  <c r="C93" i="4" l="1"/>
  <c r="C94" i="4" l="1"/>
  <c r="C95" i="4"/>
  <c r="C96" i="4" l="1"/>
  <c r="C97" i="4" l="1"/>
  <c r="C98" i="4"/>
  <c r="C99" i="4" l="1"/>
  <c r="C100" i="4" l="1"/>
  <c r="C101" i="4"/>
  <c r="C102" i="4" l="1"/>
  <c r="C103" i="4" l="1"/>
  <c r="C104" i="4"/>
  <c r="C105" i="4" l="1"/>
  <c r="C106" i="4" l="1"/>
  <c r="C107" i="4"/>
  <c r="C108" i="4" l="1"/>
  <c r="C109" i="4" l="1"/>
  <c r="C110" i="4"/>
  <c r="C111" i="4" l="1"/>
  <c r="C112" i="4" l="1"/>
  <c r="C113" i="4" s="1"/>
  <c r="C114" i="4" l="1"/>
  <c r="C115" i="4" l="1"/>
  <c r="C116" i="4" s="1"/>
  <c r="C117" i="4" l="1"/>
  <c r="C118" i="4" l="1"/>
  <c r="C119" i="4" l="1"/>
  <c r="C120" i="4"/>
  <c r="C121" i="4" l="1"/>
  <c r="C122" i="4" l="1"/>
  <c r="C123" i="4"/>
  <c r="C124" i="4" l="1"/>
  <c r="C125" i="4" s="1"/>
  <c r="C126" i="4" l="1"/>
  <c r="C127" i="4" l="1"/>
  <c r="C128" i="4"/>
  <c r="C129" i="4" l="1"/>
  <c r="C130" i="4" l="1"/>
  <c r="C131" i="4"/>
  <c r="C132" i="4" l="1"/>
  <c r="C133" i="4" l="1"/>
  <c r="C134" i="4"/>
  <c r="C135" i="4" l="1"/>
  <c r="C136" i="4" s="1"/>
  <c r="C137" i="4" l="1"/>
  <c r="C138" i="4" l="1"/>
  <c r="C139" i="4"/>
  <c r="C140" i="4" l="1"/>
  <c r="C141" i="4" l="1"/>
  <c r="C142" i="4"/>
  <c r="C143" i="4" l="1"/>
  <c r="C144" i="4" l="1"/>
  <c r="C145" i="4"/>
  <c r="C146" i="4" l="1"/>
  <c r="C147" i="4" s="1"/>
  <c r="C148" i="4" l="1"/>
  <c r="C149" i="4" l="1"/>
  <c r="C150" i="4"/>
  <c r="C151" i="4" l="1"/>
  <c r="C152" i="4" l="1"/>
  <c r="C153" i="4"/>
  <c r="C154" i="4" l="1"/>
  <c r="C155" i="4" l="1"/>
  <c r="C156" i="4"/>
  <c r="C157" i="4" l="1"/>
</calcChain>
</file>

<file path=xl/sharedStrings.xml><?xml version="1.0" encoding="utf-8"?>
<sst xmlns="http://schemas.openxmlformats.org/spreadsheetml/2006/main" count="60" uniqueCount="19">
  <si>
    <t>Наименование товара</t>
  </si>
  <si>
    <t>Безнал.</t>
  </si>
  <si>
    <t>Нал.</t>
  </si>
  <si>
    <t>Продажа</t>
  </si>
  <si>
    <t>Всего</t>
  </si>
  <si>
    <t>Выручка от продаж, у.е.</t>
  </si>
  <si>
    <t>Остаток на складе</t>
  </si>
  <si>
    <t>Наименова-ние товара</t>
  </si>
  <si>
    <t>Цена за единицу (у.е.)</t>
  </si>
  <si>
    <t>Предложе-ние (шт.)</t>
  </si>
  <si>
    <t>Телевизор</t>
  </si>
  <si>
    <t>Кофеварка</t>
  </si>
  <si>
    <t>Музыкаль-ный центр</t>
  </si>
  <si>
    <t>Видеокамера</t>
  </si>
  <si>
    <t>Фотоаппарат</t>
  </si>
  <si>
    <t>Анализ продаж торговой фирмы "МУСОР"</t>
  </si>
  <si>
    <t>Сводные показатели за 1 квартал</t>
  </si>
  <si>
    <t>Продано (шт.)</t>
  </si>
  <si>
    <t>Выручка за 1 квартал, у.е.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</si>
</sst>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H8" sqref="H8"/>
    </sheetView>
  </sheetViews>
  <sheetFormatPr defaultRowHeight="15" x14ac:dyDescent="0.25"/>
  <cols>
    <col min="1" max="1" width="16" customWidth="1"/>
    <col min="3" max="3" width="20" customWidth="1"/>
    <col min="4" max="4" width="15.85546875" customWidth="1"/>
    <col min="6" max="6" width="10.42578125" customWidth="1"/>
    <col min="8" max="8" width="14.42578125" customWidth="1"/>
    <col min="9" max="9" width="11.7109375" customWidth="1"/>
  </cols>
  <sheetData>
    <row r="1" spans="1:9" ht="19.5" thickBot="1" x14ac:dyDescent="0.3">
      <c r="A1" s="12" t="s">
        <v>15</v>
      </c>
      <c r="B1" s="12"/>
      <c r="C1" s="12"/>
      <c r="D1" s="12"/>
      <c r="E1" s="12"/>
      <c r="F1" s="12"/>
      <c r="G1" s="12"/>
      <c r="H1" s="12"/>
      <c r="I1" s="12"/>
    </row>
    <row r="2" spans="1:9" ht="19.5" thickBot="1" x14ac:dyDescent="0.3">
      <c r="A2" s="13" t="s">
        <v>7</v>
      </c>
      <c r="B2" s="12" t="s">
        <v>8</v>
      </c>
      <c r="C2" s="12"/>
      <c r="D2" s="13" t="s">
        <v>9</v>
      </c>
      <c r="E2" s="12" t="s">
        <v>3</v>
      </c>
      <c r="F2" s="12"/>
      <c r="G2" s="12"/>
      <c r="H2" s="13" t="s">
        <v>5</v>
      </c>
      <c r="I2" s="13" t="s">
        <v>6</v>
      </c>
    </row>
    <row r="3" spans="1:9" ht="39" customHeight="1" thickBot="1" x14ac:dyDescent="0.3">
      <c r="A3" s="13"/>
      <c r="B3" s="1" t="s">
        <v>2</v>
      </c>
      <c r="C3" s="1" t="s">
        <v>1</v>
      </c>
      <c r="D3" s="13"/>
      <c r="E3" s="1" t="s">
        <v>2</v>
      </c>
      <c r="F3" s="1" t="s">
        <v>1</v>
      </c>
      <c r="G3" s="1" t="s">
        <v>4</v>
      </c>
      <c r="H3" s="13"/>
      <c r="I3" s="13"/>
    </row>
    <row r="4" spans="1:9" ht="19.5" thickBot="1" x14ac:dyDescent="0.35">
      <c r="A4" s="2" t="s">
        <v>10</v>
      </c>
      <c r="B4" s="2">
        <v>300</v>
      </c>
      <c r="C4" s="2">
        <v>310</v>
      </c>
      <c r="D4" s="2">
        <v>20</v>
      </c>
      <c r="E4" s="2">
        <v>5</v>
      </c>
      <c r="F4" s="2">
        <v>10</v>
      </c>
      <c r="G4" s="2">
        <f>E4+F4</f>
        <v>15</v>
      </c>
      <c r="H4" s="2">
        <f>B4*E4+C4*F4</f>
        <v>4600</v>
      </c>
      <c r="I4" s="3">
        <f>D4-G4</f>
        <v>5</v>
      </c>
    </row>
    <row r="5" spans="1:9" ht="19.5" thickBot="1" x14ac:dyDescent="0.35">
      <c r="A5" s="2" t="s">
        <v>11</v>
      </c>
      <c r="B5" s="2">
        <v>200</v>
      </c>
      <c r="C5" s="2">
        <v>205</v>
      </c>
      <c r="D5" s="2">
        <v>25</v>
      </c>
      <c r="E5" s="2">
        <v>5</v>
      </c>
      <c r="F5" s="2">
        <v>7</v>
      </c>
      <c r="G5" s="2">
        <f t="shared" ref="G5:G8" si="0">E5+F5</f>
        <v>12</v>
      </c>
      <c r="H5" s="2">
        <f t="shared" ref="H5:H8" si="1">B5*E5+C5*F5</f>
        <v>2435</v>
      </c>
      <c r="I5" s="3">
        <f t="shared" ref="I5:I8" si="2">D5-G5</f>
        <v>13</v>
      </c>
    </row>
    <row r="6" spans="1:9" ht="38.25" thickBot="1" x14ac:dyDescent="0.35">
      <c r="A6" s="4" t="s">
        <v>12</v>
      </c>
      <c r="B6" s="2">
        <v>275</v>
      </c>
      <c r="C6" s="2">
        <v>280</v>
      </c>
      <c r="D6" s="2">
        <v>30</v>
      </c>
      <c r="E6" s="2">
        <v>9</v>
      </c>
      <c r="F6" s="2">
        <v>7</v>
      </c>
      <c r="G6" s="2">
        <f t="shared" si="0"/>
        <v>16</v>
      </c>
      <c r="H6" s="2">
        <f t="shared" si="1"/>
        <v>4435</v>
      </c>
      <c r="I6" s="3">
        <f t="shared" si="2"/>
        <v>14</v>
      </c>
    </row>
    <row r="7" spans="1:9" ht="19.5" thickBot="1" x14ac:dyDescent="0.35">
      <c r="A7" s="2" t="s">
        <v>13</v>
      </c>
      <c r="B7" s="2">
        <v>415</v>
      </c>
      <c r="C7" s="2">
        <v>430</v>
      </c>
      <c r="D7" s="2">
        <v>10</v>
      </c>
      <c r="E7" s="2">
        <v>2</v>
      </c>
      <c r="F7" s="2">
        <v>8</v>
      </c>
      <c r="G7" s="2">
        <f t="shared" si="0"/>
        <v>10</v>
      </c>
      <c r="H7" s="2">
        <f t="shared" si="1"/>
        <v>4270</v>
      </c>
      <c r="I7" s="3">
        <f t="shared" si="2"/>
        <v>0</v>
      </c>
    </row>
    <row r="8" spans="1:9" ht="19.5" thickBot="1" x14ac:dyDescent="0.35">
      <c r="A8" s="2" t="s">
        <v>14</v>
      </c>
      <c r="B8" s="2">
        <v>50</v>
      </c>
      <c r="C8" s="2">
        <v>51</v>
      </c>
      <c r="D8" s="2">
        <v>100</v>
      </c>
      <c r="E8" s="2">
        <v>57</v>
      </c>
      <c r="F8" s="2">
        <v>34</v>
      </c>
      <c r="G8" s="2">
        <f t="shared" si="0"/>
        <v>91</v>
      </c>
      <c r="H8" s="2">
        <f t="shared" si="1"/>
        <v>4584</v>
      </c>
      <c r="I8" s="3">
        <f t="shared" si="2"/>
        <v>9</v>
      </c>
    </row>
  </sheetData>
  <dataConsolidate/>
  <mergeCells count="7">
    <mergeCell ref="A1:I1"/>
    <mergeCell ref="A2:A3"/>
    <mergeCell ref="D2:D3"/>
    <mergeCell ref="E2:G2"/>
    <mergeCell ref="H2:H3"/>
    <mergeCell ref="I2:I3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AE87-4CD5-40BE-9470-1CAAF791F5E4}">
  <dimension ref="A1:I8"/>
  <sheetViews>
    <sheetView workbookViewId="0">
      <selection activeCell="H4" sqref="H4"/>
    </sheetView>
  </sheetViews>
  <sheetFormatPr defaultRowHeight="15" x14ac:dyDescent="0.25"/>
  <cols>
    <col min="1" max="1" width="16" customWidth="1"/>
    <col min="3" max="3" width="20" customWidth="1"/>
    <col min="4" max="4" width="15.85546875" customWidth="1"/>
    <col min="6" max="6" width="10.42578125" customWidth="1"/>
    <col min="8" max="8" width="14.42578125" customWidth="1"/>
    <col min="9" max="9" width="11.7109375" customWidth="1"/>
  </cols>
  <sheetData>
    <row r="1" spans="1:9" ht="19.5" thickBot="1" x14ac:dyDescent="0.3">
      <c r="A1" s="12" t="s">
        <v>15</v>
      </c>
      <c r="B1" s="12"/>
      <c r="C1" s="12"/>
      <c r="D1" s="12"/>
      <c r="E1" s="12"/>
      <c r="F1" s="12"/>
      <c r="G1" s="12"/>
      <c r="H1" s="12"/>
      <c r="I1" s="12"/>
    </row>
    <row r="2" spans="1:9" ht="19.5" thickBot="1" x14ac:dyDescent="0.3">
      <c r="A2" s="13" t="s">
        <v>7</v>
      </c>
      <c r="B2" s="12" t="s">
        <v>8</v>
      </c>
      <c r="C2" s="12"/>
      <c r="D2" s="13" t="s">
        <v>9</v>
      </c>
      <c r="E2" s="12" t="s">
        <v>3</v>
      </c>
      <c r="F2" s="12"/>
      <c r="G2" s="12"/>
      <c r="H2" s="13" t="s">
        <v>5</v>
      </c>
      <c r="I2" s="13" t="s">
        <v>6</v>
      </c>
    </row>
    <row r="3" spans="1:9" ht="19.5" thickBot="1" x14ac:dyDescent="0.3">
      <c r="A3" s="13"/>
      <c r="B3" s="1" t="s">
        <v>2</v>
      </c>
      <c r="C3" s="1" t="s">
        <v>1</v>
      </c>
      <c r="D3" s="13"/>
      <c r="E3" s="1" t="s">
        <v>2</v>
      </c>
      <c r="F3" s="1" t="s">
        <v>1</v>
      </c>
      <c r="G3" s="1" t="s">
        <v>4</v>
      </c>
      <c r="H3" s="13"/>
      <c r="I3" s="13"/>
    </row>
    <row r="4" spans="1:9" ht="19.5" thickBot="1" x14ac:dyDescent="0.35">
      <c r="A4" s="2" t="s">
        <v>10</v>
      </c>
      <c r="B4" s="2">
        <v>300</v>
      </c>
      <c r="C4" s="2">
        <v>300</v>
      </c>
      <c r="D4" s="2">
        <v>20</v>
      </c>
      <c r="E4" s="2">
        <v>10</v>
      </c>
      <c r="F4" s="2">
        <v>8</v>
      </c>
      <c r="G4" s="2">
        <f>E4+F4</f>
        <v>18</v>
      </c>
      <c r="H4" s="2">
        <f>B4*E4+C4*F4</f>
        <v>5400</v>
      </c>
      <c r="I4" s="3">
        <f>D4-G4</f>
        <v>2</v>
      </c>
    </row>
    <row r="5" spans="1:9" ht="19.5" thickBot="1" x14ac:dyDescent="0.35">
      <c r="A5" s="2" t="s">
        <v>11</v>
      </c>
      <c r="B5" s="2">
        <v>201</v>
      </c>
      <c r="C5" s="2">
        <v>105</v>
      </c>
      <c r="D5" s="2">
        <v>21</v>
      </c>
      <c r="E5" s="2">
        <v>5</v>
      </c>
      <c r="F5" s="2">
        <v>7</v>
      </c>
      <c r="G5" s="2">
        <f t="shared" ref="G5:G8" si="0">E5+F5</f>
        <v>12</v>
      </c>
      <c r="H5" s="2">
        <f t="shared" ref="H5:H8" si="1">B5*E5+C5*F5</f>
        <v>1740</v>
      </c>
      <c r="I5" s="3">
        <f t="shared" ref="I5:I8" si="2">D5-G5</f>
        <v>9</v>
      </c>
    </row>
    <row r="6" spans="1:9" ht="38.25" thickBot="1" x14ac:dyDescent="0.35">
      <c r="A6" s="4" t="s">
        <v>12</v>
      </c>
      <c r="B6" s="2">
        <v>275</v>
      </c>
      <c r="C6" s="2">
        <v>180</v>
      </c>
      <c r="D6" s="2">
        <v>302</v>
      </c>
      <c r="E6" s="2">
        <v>9</v>
      </c>
      <c r="F6" s="2">
        <v>7</v>
      </c>
      <c r="G6" s="2">
        <f t="shared" si="0"/>
        <v>16</v>
      </c>
      <c r="H6" s="2">
        <f t="shared" si="1"/>
        <v>3735</v>
      </c>
      <c r="I6" s="3">
        <f t="shared" si="2"/>
        <v>286</v>
      </c>
    </row>
    <row r="7" spans="1:9" ht="19.5" thickBot="1" x14ac:dyDescent="0.35">
      <c r="A7" s="2" t="s">
        <v>13</v>
      </c>
      <c r="B7" s="2">
        <v>315</v>
      </c>
      <c r="C7" s="2">
        <v>330</v>
      </c>
      <c r="D7" s="2">
        <v>50</v>
      </c>
      <c r="E7" s="2">
        <v>2</v>
      </c>
      <c r="F7" s="2">
        <v>8</v>
      </c>
      <c r="G7" s="2">
        <f t="shared" si="0"/>
        <v>10</v>
      </c>
      <c r="H7" s="2">
        <f t="shared" si="1"/>
        <v>3270</v>
      </c>
      <c r="I7" s="3">
        <f t="shared" si="2"/>
        <v>40</v>
      </c>
    </row>
    <row r="8" spans="1:9" ht="19.5" thickBot="1" x14ac:dyDescent="0.35">
      <c r="A8" s="2" t="s">
        <v>14</v>
      </c>
      <c r="B8" s="2">
        <v>50</v>
      </c>
      <c r="C8" s="2">
        <v>51</v>
      </c>
      <c r="D8" s="2">
        <v>100</v>
      </c>
      <c r="E8" s="2">
        <v>57</v>
      </c>
      <c r="F8" s="2">
        <v>34</v>
      </c>
      <c r="G8" s="2">
        <f t="shared" si="0"/>
        <v>91</v>
      </c>
      <c r="H8" s="2">
        <f t="shared" si="1"/>
        <v>4584</v>
      </c>
      <c r="I8" s="3">
        <f t="shared" si="2"/>
        <v>9</v>
      </c>
    </row>
  </sheetData>
  <mergeCells count="7">
    <mergeCell ref="D2:D3"/>
    <mergeCell ref="E2:G2"/>
    <mergeCell ref="H2:H3"/>
    <mergeCell ref="I2:I3"/>
    <mergeCell ref="A1:I1"/>
    <mergeCell ref="A2:A3"/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259D-F755-4375-81BE-36733E08396F}">
  <dimension ref="A1:I8"/>
  <sheetViews>
    <sheetView workbookViewId="0">
      <selection activeCell="D4" sqref="D4"/>
    </sheetView>
  </sheetViews>
  <sheetFormatPr defaultRowHeight="15" x14ac:dyDescent="0.25"/>
  <cols>
    <col min="1" max="1" width="16" customWidth="1"/>
    <col min="3" max="3" width="20" customWidth="1"/>
    <col min="4" max="4" width="15.85546875" customWidth="1"/>
    <col min="6" max="6" width="10.42578125" customWidth="1"/>
    <col min="8" max="8" width="14.42578125" customWidth="1"/>
    <col min="9" max="9" width="11.7109375" customWidth="1"/>
  </cols>
  <sheetData>
    <row r="1" spans="1:9" ht="19.5" thickBot="1" x14ac:dyDescent="0.3">
      <c r="A1" s="12" t="s">
        <v>15</v>
      </c>
      <c r="B1" s="12"/>
      <c r="C1" s="12"/>
      <c r="D1" s="12"/>
      <c r="E1" s="12"/>
      <c r="F1" s="12"/>
      <c r="G1" s="12"/>
      <c r="H1" s="12"/>
      <c r="I1" s="12"/>
    </row>
    <row r="2" spans="1:9" ht="19.5" thickBot="1" x14ac:dyDescent="0.3">
      <c r="A2" s="13" t="s">
        <v>7</v>
      </c>
      <c r="B2" s="12" t="s">
        <v>8</v>
      </c>
      <c r="C2" s="12"/>
      <c r="D2" s="13" t="s">
        <v>9</v>
      </c>
      <c r="E2" s="12" t="s">
        <v>3</v>
      </c>
      <c r="F2" s="12"/>
      <c r="G2" s="12"/>
      <c r="H2" s="13" t="s">
        <v>5</v>
      </c>
      <c r="I2" s="13" t="s">
        <v>6</v>
      </c>
    </row>
    <row r="3" spans="1:9" ht="19.5" thickBot="1" x14ac:dyDescent="0.3">
      <c r="A3" s="13"/>
      <c r="B3" s="1" t="s">
        <v>2</v>
      </c>
      <c r="C3" s="1" t="s">
        <v>1</v>
      </c>
      <c r="D3" s="13"/>
      <c r="E3" s="1" t="s">
        <v>2</v>
      </c>
      <c r="F3" s="1" t="s">
        <v>1</v>
      </c>
      <c r="G3" s="1" t="s">
        <v>4</v>
      </c>
      <c r="H3" s="13"/>
      <c r="I3" s="13"/>
    </row>
    <row r="4" spans="1:9" ht="19.5" thickBot="1" x14ac:dyDescent="0.35">
      <c r="A4" s="2" t="s">
        <v>10</v>
      </c>
      <c r="B4" s="2">
        <v>303</v>
      </c>
      <c r="C4" s="2">
        <v>310</v>
      </c>
      <c r="D4" s="2">
        <v>25</v>
      </c>
      <c r="E4" s="2">
        <v>5</v>
      </c>
      <c r="F4" s="2">
        <v>10</v>
      </c>
      <c r="G4" s="2">
        <f>E4+F4</f>
        <v>15</v>
      </c>
      <c r="H4" s="2">
        <f>B4*E4+C4*F4</f>
        <v>4615</v>
      </c>
      <c r="I4" s="3">
        <f>D4-G4</f>
        <v>10</v>
      </c>
    </row>
    <row r="5" spans="1:9" ht="19.5" thickBot="1" x14ac:dyDescent="0.35">
      <c r="A5" s="2" t="s">
        <v>11</v>
      </c>
      <c r="B5" s="2">
        <v>201</v>
      </c>
      <c r="C5" s="2">
        <v>205</v>
      </c>
      <c r="D5" s="2">
        <v>23</v>
      </c>
      <c r="E5" s="2">
        <v>5</v>
      </c>
      <c r="F5" s="2">
        <v>7</v>
      </c>
      <c r="G5" s="2">
        <f t="shared" ref="G5:G8" si="0">E5+F5</f>
        <v>12</v>
      </c>
      <c r="H5" s="2">
        <f t="shared" ref="H5:H8" si="1">B5*E5+C5*F5</f>
        <v>2440</v>
      </c>
      <c r="I5" s="3">
        <f t="shared" ref="I5:I8" si="2">D5-G5</f>
        <v>11</v>
      </c>
    </row>
    <row r="6" spans="1:9" ht="38.25" thickBot="1" x14ac:dyDescent="0.35">
      <c r="A6" s="4" t="s">
        <v>12</v>
      </c>
      <c r="B6" s="2">
        <v>175</v>
      </c>
      <c r="C6" s="2">
        <v>280</v>
      </c>
      <c r="D6" s="2">
        <v>35</v>
      </c>
      <c r="E6" s="2">
        <v>9</v>
      </c>
      <c r="F6" s="2">
        <v>7</v>
      </c>
      <c r="G6" s="2">
        <f t="shared" si="0"/>
        <v>16</v>
      </c>
      <c r="H6" s="2">
        <f t="shared" si="1"/>
        <v>3535</v>
      </c>
      <c r="I6" s="3">
        <f t="shared" si="2"/>
        <v>19</v>
      </c>
    </row>
    <row r="7" spans="1:9" ht="19.5" thickBot="1" x14ac:dyDescent="0.35">
      <c r="A7" s="2" t="s">
        <v>13</v>
      </c>
      <c r="B7" s="2">
        <v>412</v>
      </c>
      <c r="C7" s="2">
        <v>430</v>
      </c>
      <c r="D7" s="2">
        <v>10</v>
      </c>
      <c r="E7" s="2">
        <v>2</v>
      </c>
      <c r="F7" s="2">
        <v>8</v>
      </c>
      <c r="G7" s="2">
        <f t="shared" si="0"/>
        <v>10</v>
      </c>
      <c r="H7" s="2">
        <f t="shared" si="1"/>
        <v>4264</v>
      </c>
      <c r="I7" s="3">
        <f t="shared" si="2"/>
        <v>0</v>
      </c>
    </row>
    <row r="8" spans="1:9" ht="19.5" thickBot="1" x14ac:dyDescent="0.35">
      <c r="A8" s="2" t="s">
        <v>14</v>
      </c>
      <c r="B8" s="2">
        <v>54</v>
      </c>
      <c r="C8" s="2">
        <v>51</v>
      </c>
      <c r="D8" s="2">
        <v>100</v>
      </c>
      <c r="E8" s="2">
        <v>57</v>
      </c>
      <c r="F8" s="2">
        <v>34</v>
      </c>
      <c r="G8" s="2">
        <f t="shared" si="0"/>
        <v>91</v>
      </c>
      <c r="H8" s="2">
        <f t="shared" si="1"/>
        <v>4812</v>
      </c>
      <c r="I8" s="3">
        <f t="shared" si="2"/>
        <v>9</v>
      </c>
    </row>
  </sheetData>
  <mergeCells count="7">
    <mergeCell ref="A1:I1"/>
    <mergeCell ref="A2:A3"/>
    <mergeCell ref="B2:C2"/>
    <mergeCell ref="D2:D3"/>
    <mergeCell ref="E2:G2"/>
    <mergeCell ref="H2:H3"/>
    <mergeCell ref="I2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92AA-9182-4435-B8A4-7CF0C8446B88}">
  <dimension ref="A1:K158"/>
  <sheetViews>
    <sheetView tabSelected="1" workbookViewId="0">
      <selection activeCell="G149" sqref="G149"/>
    </sheetView>
  </sheetViews>
  <sheetFormatPr defaultRowHeight="15" outlineLevelRow="7" x14ac:dyDescent="0.25"/>
  <cols>
    <col min="1" max="1" width="16" customWidth="1"/>
    <col min="2" max="2" width="18.85546875" bestFit="1" customWidth="1"/>
    <col min="3" max="3" width="37.5703125" bestFit="1" customWidth="1"/>
    <col min="5" max="5" width="16" customWidth="1"/>
    <col min="6" max="6" width="18.85546875" bestFit="1" customWidth="1"/>
    <col min="7" max="7" width="35.140625" bestFit="1" customWidth="1"/>
    <col min="9" max="9" width="16" customWidth="1"/>
    <col min="10" max="10" width="18.85546875" bestFit="1" customWidth="1"/>
    <col min="11" max="11" width="35.140625" bestFit="1" customWidth="1"/>
  </cols>
  <sheetData>
    <row r="1" spans="1:11" ht="19.5" thickBot="1" x14ac:dyDescent="0.35">
      <c r="A1" s="14" t="s">
        <v>16</v>
      </c>
      <c r="B1" s="14"/>
      <c r="C1" s="14"/>
      <c r="E1" s="15"/>
      <c r="F1" s="15"/>
      <c r="G1" s="15"/>
      <c r="I1" s="15"/>
      <c r="J1" s="15"/>
      <c r="K1" s="15"/>
    </row>
    <row r="2" spans="1:11" ht="19.5" thickBot="1" x14ac:dyDescent="0.35">
      <c r="A2" s="5" t="s">
        <v>0</v>
      </c>
      <c r="B2" s="5" t="s">
        <v>17</v>
      </c>
      <c r="C2" s="5" t="s">
        <v>18</v>
      </c>
      <c r="E2" s="7"/>
      <c r="F2" s="7"/>
      <c r="G2" s="7"/>
      <c r="I2" s="7"/>
      <c r="J2" s="7"/>
      <c r="K2" s="7"/>
    </row>
    <row r="3" spans="1:11" ht="19.5" hidden="1" outlineLevel="1" thickBot="1" x14ac:dyDescent="0.35">
      <c r="A3" s="5"/>
      <c r="B3" s="5">
        <f>Март!$G$4</f>
        <v>15</v>
      </c>
      <c r="C3" s="5"/>
      <c r="E3" s="7"/>
      <c r="F3" s="7"/>
      <c r="G3" s="7"/>
      <c r="I3" s="7"/>
      <c r="J3" s="7"/>
      <c r="K3" s="7"/>
    </row>
    <row r="4" spans="1:11" ht="19.5" hidden="1" outlineLevel="1" collapsed="1" thickBot="1" x14ac:dyDescent="0.35">
      <c r="A4" s="5"/>
      <c r="B4" s="5">
        <f>Февраль!$G$4</f>
        <v>18</v>
      </c>
      <c r="C4" s="5"/>
      <c r="E4" s="7"/>
      <c r="F4" s="7"/>
      <c r="G4" s="7"/>
      <c r="I4" s="7"/>
      <c r="J4" s="7"/>
      <c r="K4" s="7"/>
    </row>
    <row r="5" spans="1:11" ht="19.5" hidden="1" outlineLevel="1" collapsed="1" thickBot="1" x14ac:dyDescent="0.35">
      <c r="A5" s="5"/>
      <c r="B5" s="5">
        <f>Январь!$G$4</f>
        <v>15</v>
      </c>
      <c r="C5" s="5"/>
      <c r="E5" s="7"/>
      <c r="F5" s="7"/>
      <c r="G5" s="7"/>
      <c r="I5" s="7"/>
      <c r="J5" s="7"/>
      <c r="K5" s="7"/>
    </row>
    <row r="6" spans="1:11" ht="19.5" hidden="1" outlineLevel="2" thickBot="1" x14ac:dyDescent="0.35">
      <c r="A6" s="5"/>
      <c r="B6" s="5"/>
      <c r="C6" s="5">
        <f>Март!$H$4</f>
        <v>4615</v>
      </c>
      <c r="E6" s="7"/>
      <c r="F6" s="7"/>
      <c r="G6" s="7"/>
      <c r="I6" s="7"/>
      <c r="J6" s="7"/>
      <c r="K6" s="7"/>
    </row>
    <row r="7" spans="1:11" ht="19.5" hidden="1" outlineLevel="2" thickBot="1" x14ac:dyDescent="0.35">
      <c r="A7" s="5"/>
      <c r="B7" s="5"/>
      <c r="C7" s="5">
        <f>Февраль!$H$4</f>
        <v>5400</v>
      </c>
      <c r="E7" s="7"/>
      <c r="F7" s="7"/>
      <c r="G7" s="7"/>
      <c r="I7" s="7"/>
      <c r="J7" s="7"/>
      <c r="K7" s="7"/>
    </row>
    <row r="8" spans="1:11" ht="19.5" hidden="1" outlineLevel="2" thickBot="1" x14ac:dyDescent="0.35">
      <c r="A8" s="5"/>
      <c r="B8" s="5"/>
      <c r="C8" s="5">
        <f>Январь!$H$4</f>
        <v>4600</v>
      </c>
      <c r="E8" s="7"/>
      <c r="F8" s="7"/>
      <c r="G8" s="7"/>
      <c r="I8" s="7"/>
      <c r="J8" s="7"/>
      <c r="K8" s="7"/>
    </row>
    <row r="9" spans="1:11" ht="19.5" hidden="1" outlineLevel="3" thickBot="1" x14ac:dyDescent="0.35">
      <c r="A9" s="5"/>
      <c r="B9" s="5"/>
      <c r="C9" s="5">
        <f>Март!$H$4</f>
        <v>4615</v>
      </c>
      <c r="E9" s="7"/>
      <c r="F9" s="7"/>
      <c r="G9" s="7"/>
      <c r="I9" s="7"/>
      <c r="J9" s="7"/>
      <c r="K9" s="7"/>
    </row>
    <row r="10" spans="1:11" ht="19.5" hidden="1" outlineLevel="3" thickBot="1" x14ac:dyDescent="0.35">
      <c r="A10" s="5"/>
      <c r="B10" s="5"/>
      <c r="C10" s="5">
        <f>Февраль!$H$4</f>
        <v>5400</v>
      </c>
      <c r="E10" s="7"/>
      <c r="F10" s="7"/>
      <c r="G10" s="7"/>
      <c r="I10" s="7"/>
      <c r="J10" s="7"/>
      <c r="K10" s="7"/>
    </row>
    <row r="11" spans="1:11" ht="19.5" hidden="1" outlineLevel="3" thickBot="1" x14ac:dyDescent="0.35">
      <c r="A11" s="5"/>
      <c r="B11" s="5"/>
      <c r="C11" s="5">
        <f>Январь!$H$4</f>
        <v>4600</v>
      </c>
      <c r="E11" s="7"/>
      <c r="F11" s="7"/>
      <c r="G11" s="7"/>
      <c r="I11" s="7"/>
      <c r="J11" s="7"/>
      <c r="K11" s="7"/>
    </row>
    <row r="12" spans="1:11" ht="19.5" hidden="1" outlineLevel="4" thickBot="1" x14ac:dyDescent="0.35">
      <c r="A12" s="5"/>
      <c r="B12" s="5"/>
      <c r="C12" s="5"/>
      <c r="E12" s="7"/>
      <c r="F12" s="7"/>
      <c r="G12" s="7"/>
      <c r="I12" s="7"/>
      <c r="J12" s="7"/>
      <c r="K12" s="7"/>
    </row>
    <row r="13" spans="1:11" ht="19.5" hidden="1" outlineLevel="4" thickBot="1" x14ac:dyDescent="0.35">
      <c r="A13" s="5"/>
      <c r="B13" s="5"/>
      <c r="C13" s="5"/>
      <c r="E13" s="7"/>
      <c r="F13" s="7"/>
      <c r="G13" s="7"/>
      <c r="I13" s="7"/>
      <c r="J13" s="7"/>
      <c r="K13" s="7"/>
    </row>
    <row r="14" spans="1:11" ht="19.5" hidden="1" outlineLevel="4" thickBot="1" x14ac:dyDescent="0.35">
      <c r="A14" s="5"/>
      <c r="B14" s="5"/>
      <c r="C14" s="5"/>
      <c r="E14" s="7"/>
      <c r="F14" s="7"/>
      <c r="G14" s="7"/>
      <c r="I14" s="7"/>
      <c r="J14" s="7"/>
      <c r="K14" s="7"/>
    </row>
    <row r="15" spans="1:11" ht="19.5" hidden="1" outlineLevel="5" thickBot="1" x14ac:dyDescent="0.35">
      <c r="A15" s="5"/>
      <c r="B15" s="5"/>
      <c r="C15" s="5">
        <f>Март!$H$4</f>
        <v>4615</v>
      </c>
      <c r="E15" s="7"/>
      <c r="F15" s="7"/>
      <c r="G15" s="7"/>
      <c r="I15" s="7"/>
      <c r="J15" s="7"/>
      <c r="K15" s="7"/>
    </row>
    <row r="16" spans="1:11" ht="19.5" hidden="1" outlineLevel="5" thickBot="1" x14ac:dyDescent="0.35">
      <c r="A16" s="5"/>
      <c r="B16" s="5"/>
      <c r="C16" s="5">
        <f>Февраль!$H$4</f>
        <v>5400</v>
      </c>
      <c r="E16" s="7"/>
      <c r="F16" s="7"/>
      <c r="G16" s="7"/>
      <c r="I16" s="7"/>
      <c r="J16" s="7"/>
      <c r="K16" s="7"/>
    </row>
    <row r="17" spans="1:11" ht="19.5" hidden="1" outlineLevel="5" thickBot="1" x14ac:dyDescent="0.35">
      <c r="A17" s="5"/>
      <c r="B17" s="5"/>
      <c r="C17" s="5">
        <f>Январь!$H$4</f>
        <v>4600</v>
      </c>
      <c r="E17" s="7"/>
      <c r="F17" s="7"/>
      <c r="G17" s="7"/>
      <c r="I17" s="7"/>
      <c r="J17" s="7"/>
      <c r="K17" s="7"/>
    </row>
    <row r="18" spans="1:11" ht="19.5" hidden="1" outlineLevel="7" thickBot="1" x14ac:dyDescent="0.35">
      <c r="A18" s="5"/>
      <c r="B18" s="5"/>
      <c r="C18" s="5">
        <f>Март!$H$4</f>
        <v>4615</v>
      </c>
      <c r="E18" s="7"/>
      <c r="F18" s="7"/>
      <c r="G18" s="7"/>
      <c r="I18" s="7"/>
      <c r="J18" s="7"/>
      <c r="K18" s="7"/>
    </row>
    <row r="19" spans="1:11" ht="19.5" hidden="1" outlineLevel="7" collapsed="1" thickBot="1" x14ac:dyDescent="0.35">
      <c r="A19" s="5"/>
      <c r="B19" s="5"/>
      <c r="C19" s="5">
        <f>Февраль!$H$4</f>
        <v>5400</v>
      </c>
      <c r="E19" s="7"/>
      <c r="F19" s="7"/>
      <c r="G19" s="7"/>
      <c r="I19" s="7"/>
      <c r="J19" s="7"/>
      <c r="K19" s="7"/>
    </row>
    <row r="20" spans="1:11" ht="19.5" hidden="1" outlineLevel="7" collapsed="1" thickBot="1" x14ac:dyDescent="0.35">
      <c r="A20" s="5"/>
      <c r="B20" s="5"/>
      <c r="C20" s="5">
        <f>Январь!$H$4</f>
        <v>4600</v>
      </c>
      <c r="E20" s="7"/>
      <c r="F20" s="7"/>
      <c r="G20" s="7"/>
      <c r="I20" s="7"/>
      <c r="J20" s="7"/>
      <c r="K20" s="7"/>
    </row>
    <row r="21" spans="1:11" ht="19.5" hidden="1" outlineLevel="6" collapsed="1" thickBot="1" x14ac:dyDescent="0.35">
      <c r="A21" s="5"/>
      <c r="B21" s="5"/>
      <c r="C21" s="5">
        <f>SUM(C18:C20)</f>
        <v>14615</v>
      </c>
      <c r="E21" s="7"/>
      <c r="F21" s="7"/>
      <c r="G21" s="7"/>
      <c r="I21" s="7"/>
      <c r="J21" s="7"/>
      <c r="K21" s="7"/>
    </row>
    <row r="22" spans="1:11" ht="19.5" hidden="1" outlineLevel="7" thickBot="1" x14ac:dyDescent="0.35">
      <c r="A22" s="5"/>
      <c r="B22" s="5"/>
      <c r="C22" s="5">
        <f>Март!$H$5</f>
        <v>2440</v>
      </c>
      <c r="E22" s="7"/>
      <c r="F22" s="7"/>
      <c r="G22" s="7"/>
      <c r="I22" s="7"/>
      <c r="J22" s="7"/>
      <c r="K22" s="7"/>
    </row>
    <row r="23" spans="1:11" ht="19.5" hidden="1" outlineLevel="7" collapsed="1" thickBot="1" x14ac:dyDescent="0.35">
      <c r="A23" s="5"/>
      <c r="B23" s="5"/>
      <c r="C23" s="5">
        <f>Февраль!$H$5</f>
        <v>1740</v>
      </c>
      <c r="E23" s="7"/>
      <c r="F23" s="7"/>
      <c r="G23" s="7"/>
      <c r="I23" s="7"/>
      <c r="J23" s="7"/>
      <c r="K23" s="7"/>
    </row>
    <row r="24" spans="1:11" ht="19.5" hidden="1" outlineLevel="7" collapsed="1" thickBot="1" x14ac:dyDescent="0.35">
      <c r="A24" s="5"/>
      <c r="B24" s="5"/>
      <c r="C24" s="5">
        <f>Январь!$H$5</f>
        <v>2435</v>
      </c>
      <c r="E24" s="7"/>
      <c r="F24" s="7"/>
      <c r="G24" s="7"/>
      <c r="I24" s="7"/>
      <c r="J24" s="7"/>
      <c r="K24" s="7"/>
    </row>
    <row r="25" spans="1:11" ht="19.5" hidden="1" outlineLevel="6" collapsed="1" thickBot="1" x14ac:dyDescent="0.35">
      <c r="A25" s="5"/>
      <c r="B25" s="5"/>
      <c r="C25" s="5">
        <f>SUM(C22:C24)</f>
        <v>6615</v>
      </c>
      <c r="E25" s="7"/>
      <c r="F25" s="7"/>
      <c r="G25" s="7"/>
      <c r="I25" s="7"/>
      <c r="J25" s="7"/>
      <c r="K25" s="7"/>
    </row>
    <row r="26" spans="1:11" ht="19.5" hidden="1" outlineLevel="7" thickBot="1" x14ac:dyDescent="0.35">
      <c r="A26" s="5"/>
      <c r="B26" s="5"/>
      <c r="C26" s="5">
        <f>Март!$H$6</f>
        <v>3535</v>
      </c>
      <c r="E26" s="7"/>
      <c r="F26" s="7"/>
      <c r="G26" s="7"/>
      <c r="I26" s="7"/>
      <c r="J26" s="7"/>
      <c r="K26" s="7"/>
    </row>
    <row r="27" spans="1:11" ht="19.5" hidden="1" outlineLevel="7" collapsed="1" thickBot="1" x14ac:dyDescent="0.35">
      <c r="A27" s="5"/>
      <c r="B27" s="5"/>
      <c r="C27" s="5">
        <f>Февраль!$H$6</f>
        <v>3735</v>
      </c>
      <c r="E27" s="7"/>
      <c r="F27" s="7"/>
      <c r="G27" s="7"/>
      <c r="I27" s="7"/>
      <c r="J27" s="7"/>
      <c r="K27" s="7"/>
    </row>
    <row r="28" spans="1:11" ht="19.5" hidden="1" outlineLevel="7" collapsed="1" thickBot="1" x14ac:dyDescent="0.35">
      <c r="A28" s="5"/>
      <c r="B28" s="5"/>
      <c r="C28" s="5">
        <f>Январь!$H$6</f>
        <v>4435</v>
      </c>
      <c r="E28" s="7"/>
      <c r="F28" s="7"/>
      <c r="G28" s="7"/>
      <c r="I28" s="7"/>
      <c r="J28" s="7"/>
      <c r="K28" s="7"/>
    </row>
    <row r="29" spans="1:11" ht="19.5" hidden="1" outlineLevel="6" collapsed="1" thickBot="1" x14ac:dyDescent="0.35">
      <c r="A29" s="5"/>
      <c r="B29" s="5"/>
      <c r="C29" s="5">
        <f>SUM(C26:C28)</f>
        <v>11705</v>
      </c>
      <c r="E29" s="7"/>
      <c r="F29" s="7"/>
      <c r="G29" s="7"/>
      <c r="I29" s="7"/>
      <c r="J29" s="7"/>
      <c r="K29" s="7"/>
    </row>
    <row r="30" spans="1:11" ht="19.5" hidden="1" outlineLevel="7" thickBot="1" x14ac:dyDescent="0.35">
      <c r="A30" s="5"/>
      <c r="B30" s="5"/>
      <c r="C30" s="5">
        <f>Март!$H$7</f>
        <v>4264</v>
      </c>
      <c r="E30" s="7"/>
      <c r="F30" s="7"/>
      <c r="G30" s="7"/>
      <c r="I30" s="7"/>
      <c r="J30" s="7"/>
      <c r="K30" s="7"/>
    </row>
    <row r="31" spans="1:11" ht="19.5" hidden="1" outlineLevel="7" thickBot="1" x14ac:dyDescent="0.35">
      <c r="A31" s="5"/>
      <c r="B31" s="5"/>
      <c r="C31" s="5">
        <f>Февраль!$H$7</f>
        <v>3270</v>
      </c>
      <c r="E31" s="7"/>
      <c r="F31" s="7"/>
      <c r="G31" s="7"/>
      <c r="I31" s="7"/>
      <c r="J31" s="7"/>
      <c r="K31" s="7"/>
    </row>
    <row r="32" spans="1:11" ht="19.5" hidden="1" outlineLevel="7" thickBot="1" x14ac:dyDescent="0.35">
      <c r="A32" s="5"/>
      <c r="B32" s="5"/>
      <c r="C32" s="5">
        <f>Январь!$H$7</f>
        <v>4270</v>
      </c>
      <c r="E32" s="7"/>
      <c r="F32" s="7"/>
      <c r="G32" s="7"/>
      <c r="I32" s="7"/>
      <c r="J32" s="7"/>
      <c r="K32" s="7"/>
    </row>
    <row r="33" spans="1:11" ht="19.5" hidden="1" outlineLevel="7" thickBot="1" x14ac:dyDescent="0.35">
      <c r="A33" s="5"/>
      <c r="B33" s="5"/>
      <c r="C33" s="5"/>
      <c r="E33" s="7"/>
      <c r="F33" s="7"/>
      <c r="G33" s="7"/>
      <c r="I33" s="7"/>
      <c r="J33" s="7"/>
      <c r="K33" s="7"/>
    </row>
    <row r="34" spans="1:11" ht="19.5" hidden="1" outlineLevel="7" thickBot="1" x14ac:dyDescent="0.35">
      <c r="A34" s="5"/>
      <c r="B34" s="5"/>
      <c r="C34" s="5"/>
      <c r="E34" s="7"/>
      <c r="F34" s="7"/>
      <c r="G34" s="7"/>
      <c r="I34" s="7"/>
      <c r="J34" s="7"/>
      <c r="K34" s="7"/>
    </row>
    <row r="35" spans="1:11" ht="19.5" hidden="1" outlineLevel="7" thickBot="1" x14ac:dyDescent="0.35">
      <c r="A35" s="5"/>
      <c r="B35" s="5"/>
      <c r="C35" s="5"/>
      <c r="E35" s="7"/>
      <c r="F35" s="7"/>
      <c r="G35" s="7"/>
      <c r="I35" s="7"/>
      <c r="J35" s="7"/>
      <c r="K35" s="7"/>
    </row>
    <row r="36" spans="1:11" ht="19.5" hidden="1" outlineLevel="7" thickBot="1" x14ac:dyDescent="0.35">
      <c r="A36" s="5"/>
      <c r="B36" s="5"/>
      <c r="C36" s="5"/>
      <c r="E36" s="7"/>
      <c r="F36" s="7"/>
      <c r="G36" s="7"/>
      <c r="I36" s="7"/>
      <c r="J36" s="7"/>
      <c r="K36" s="7"/>
    </row>
    <row r="37" spans="1:11" ht="19.5" hidden="1" outlineLevel="7" thickBot="1" x14ac:dyDescent="0.35">
      <c r="A37" s="5"/>
      <c r="B37" s="5"/>
      <c r="C37" s="5"/>
      <c r="E37" s="7"/>
      <c r="F37" s="7"/>
      <c r="G37" s="7"/>
      <c r="I37" s="7"/>
      <c r="J37" s="7"/>
      <c r="K37" s="7"/>
    </row>
    <row r="38" spans="1:11" ht="19.5" hidden="1" outlineLevel="7" thickBot="1" x14ac:dyDescent="0.35">
      <c r="A38" s="5"/>
      <c r="B38" s="5"/>
      <c r="C38" s="5"/>
      <c r="E38" s="7"/>
      <c r="F38" s="7"/>
      <c r="G38" s="7"/>
      <c r="I38" s="7"/>
      <c r="J38" s="7"/>
      <c r="K38" s="7"/>
    </row>
    <row r="39" spans="1:11" ht="19.5" hidden="1" outlineLevel="7" thickBot="1" x14ac:dyDescent="0.35">
      <c r="A39" s="5"/>
      <c r="B39" s="5"/>
      <c r="C39" s="5"/>
      <c r="E39" s="7"/>
      <c r="F39" s="7"/>
      <c r="G39" s="7"/>
      <c r="I39" s="7"/>
      <c r="J39" s="7"/>
      <c r="K39" s="7"/>
    </row>
    <row r="40" spans="1:11" ht="19.5" hidden="1" outlineLevel="7" thickBot="1" x14ac:dyDescent="0.35">
      <c r="A40" s="5"/>
      <c r="B40" s="5"/>
      <c r="C40" s="5"/>
      <c r="E40" s="7"/>
      <c r="F40" s="7"/>
      <c r="G40" s="7"/>
      <c r="I40" s="7"/>
      <c r="J40" s="7"/>
      <c r="K40" s="7"/>
    </row>
    <row r="41" spans="1:11" ht="19.5" hidden="1" outlineLevel="7" thickBot="1" x14ac:dyDescent="0.35">
      <c r="A41" s="5"/>
      <c r="B41" s="5"/>
      <c r="C41" s="5"/>
      <c r="E41" s="7"/>
      <c r="F41" s="7"/>
      <c r="G41" s="7"/>
      <c r="I41" s="7"/>
      <c r="J41" s="7"/>
      <c r="K41" s="7"/>
    </row>
    <row r="42" spans="1:11" ht="19.5" collapsed="1" thickBot="1" x14ac:dyDescent="0.35">
      <c r="A42" s="2" t="s">
        <v>10</v>
      </c>
      <c r="B42" s="6">
        <f>SUM(B3:B5)</f>
        <v>48</v>
      </c>
      <c r="C42" s="11">
        <f>SUM(C30:C32)</f>
        <v>11804</v>
      </c>
      <c r="E42" s="8"/>
      <c r="F42" s="9"/>
      <c r="G42" s="9"/>
      <c r="I42" s="8"/>
      <c r="J42" s="9"/>
      <c r="K42" s="9"/>
    </row>
    <row r="43" spans="1:11" ht="19.5" hidden="1" outlineLevel="7" thickBot="1" x14ac:dyDescent="0.35">
      <c r="A43" s="2"/>
      <c r="B43" s="6"/>
      <c r="C43" s="11"/>
      <c r="E43" s="8"/>
      <c r="F43" s="9"/>
      <c r="G43" s="9"/>
      <c r="I43" s="8"/>
      <c r="J43" s="9"/>
      <c r="K43" s="9"/>
    </row>
    <row r="44" spans="1:11" ht="19.5" hidden="1" outlineLevel="7" collapsed="1" thickBot="1" x14ac:dyDescent="0.35">
      <c r="A44" s="2"/>
      <c r="B44" s="6"/>
      <c r="C44" s="11"/>
      <c r="E44" s="8"/>
      <c r="F44" s="9"/>
      <c r="G44" s="9"/>
      <c r="I44" s="8"/>
      <c r="J44" s="9"/>
      <c r="K44" s="9"/>
    </row>
    <row r="45" spans="1:11" ht="19.5" hidden="1" outlineLevel="7" collapsed="1" thickBot="1" x14ac:dyDescent="0.35">
      <c r="A45" s="2"/>
      <c r="B45" s="6"/>
      <c r="C45" s="11"/>
      <c r="E45" s="8"/>
      <c r="F45" s="9"/>
      <c r="G45" s="9"/>
      <c r="I45" s="8"/>
      <c r="J45" s="9"/>
      <c r="K45" s="9"/>
    </row>
    <row r="46" spans="1:11" ht="19.5" hidden="1" outlineLevel="7" thickBot="1" x14ac:dyDescent="0.35">
      <c r="A46" s="2"/>
      <c r="B46" s="6"/>
      <c r="C46" s="11"/>
      <c r="E46" s="8"/>
      <c r="F46" s="9"/>
      <c r="G46" s="9"/>
      <c r="I46" s="8"/>
      <c r="J46" s="9"/>
      <c r="K46" s="9"/>
    </row>
    <row r="47" spans="1:11" ht="19.5" hidden="1" outlineLevel="7" thickBot="1" x14ac:dyDescent="0.35">
      <c r="A47" s="2"/>
      <c r="B47" s="6"/>
      <c r="C47" s="11"/>
      <c r="E47" s="8"/>
      <c r="F47" s="9"/>
      <c r="G47" s="9"/>
      <c r="I47" s="8"/>
      <c r="J47" s="9"/>
      <c r="K47" s="9"/>
    </row>
    <row r="48" spans="1:11" ht="19.5" hidden="1" outlineLevel="7" thickBot="1" x14ac:dyDescent="0.35">
      <c r="A48" s="2"/>
      <c r="B48" s="6"/>
      <c r="C48" s="11"/>
      <c r="E48" s="8"/>
      <c r="F48" s="9"/>
      <c r="G48" s="9"/>
      <c r="I48" s="8"/>
      <c r="J48" s="9"/>
      <c r="K48" s="9"/>
    </row>
    <row r="49" spans="1:11" ht="19.5" hidden="1" outlineLevel="7" thickBot="1" x14ac:dyDescent="0.35">
      <c r="A49" s="2"/>
      <c r="B49" s="6"/>
      <c r="C49" s="11"/>
      <c r="E49" s="8"/>
      <c r="F49" s="9"/>
      <c r="G49" s="9"/>
      <c r="I49" s="8"/>
      <c r="J49" s="9"/>
      <c r="K49" s="9"/>
    </row>
    <row r="50" spans="1:11" ht="19.5" hidden="1" outlineLevel="7" collapsed="1" thickBot="1" x14ac:dyDescent="0.35">
      <c r="A50" s="2"/>
      <c r="B50" s="6"/>
      <c r="C50" s="11"/>
      <c r="E50" s="8"/>
      <c r="F50" s="9"/>
      <c r="G50" s="9"/>
      <c r="I50" s="8"/>
      <c r="J50" s="9"/>
      <c r="K50" s="9"/>
    </row>
    <row r="51" spans="1:11" ht="19.5" hidden="1" outlineLevel="7" thickBot="1" x14ac:dyDescent="0.35">
      <c r="A51" s="2"/>
      <c r="B51" s="6"/>
      <c r="C51" s="11"/>
      <c r="E51" s="8"/>
      <c r="F51" s="9"/>
      <c r="G51" s="9"/>
      <c r="I51" s="8"/>
      <c r="J51" s="9"/>
      <c r="K51" s="9"/>
    </row>
    <row r="52" spans="1:11" ht="19.5" hidden="1" outlineLevel="7" thickBot="1" x14ac:dyDescent="0.35">
      <c r="A52" s="2"/>
      <c r="B52" s="6"/>
      <c r="C52" s="11"/>
      <c r="E52" s="8"/>
      <c r="F52" s="9"/>
      <c r="G52" s="9"/>
      <c r="I52" s="8"/>
      <c r="J52" s="9"/>
      <c r="K52" s="9"/>
    </row>
    <row r="53" spans="1:11" ht="19.5" hidden="1" outlineLevel="7" thickBot="1" x14ac:dyDescent="0.35">
      <c r="A53" s="2"/>
      <c r="B53" s="6"/>
      <c r="C53" s="11"/>
      <c r="E53" s="8"/>
      <c r="F53" s="9"/>
      <c r="G53" s="9"/>
      <c r="I53" s="8"/>
      <c r="J53" s="9"/>
      <c r="K53" s="9"/>
    </row>
    <row r="54" spans="1:11" ht="19.5" hidden="1" outlineLevel="7" collapsed="1" thickBot="1" x14ac:dyDescent="0.35">
      <c r="A54" s="2"/>
      <c r="B54" s="6"/>
      <c r="C54" s="11"/>
      <c r="E54" s="8"/>
      <c r="F54" s="9"/>
      <c r="G54" s="9"/>
      <c r="I54" s="8"/>
      <c r="J54" s="9"/>
      <c r="K54" s="9"/>
    </row>
    <row r="55" spans="1:11" ht="19.5" hidden="1" outlineLevel="7" thickBot="1" x14ac:dyDescent="0.35">
      <c r="A55" s="2"/>
      <c r="B55" s="6"/>
      <c r="C55" s="11"/>
      <c r="E55" s="8"/>
      <c r="F55" s="9"/>
      <c r="G55" s="9"/>
      <c r="I55" s="8"/>
      <c r="J55" s="9"/>
      <c r="K55" s="9"/>
    </row>
    <row r="56" spans="1:11" ht="19.5" hidden="1" outlineLevel="7" thickBot="1" x14ac:dyDescent="0.35">
      <c r="A56" s="2"/>
      <c r="B56" s="6"/>
      <c r="C56" s="11"/>
      <c r="E56" s="8"/>
      <c r="F56" s="9"/>
      <c r="G56" s="9"/>
      <c r="I56" s="8"/>
      <c r="J56" s="9"/>
      <c r="K56" s="9"/>
    </row>
    <row r="57" spans="1:11" ht="19.5" hidden="1" outlineLevel="7" thickBot="1" x14ac:dyDescent="0.35">
      <c r="A57" s="2"/>
      <c r="B57" s="6"/>
      <c r="C57" s="11"/>
      <c r="E57" s="8"/>
      <c r="F57" s="9"/>
      <c r="G57" s="9"/>
      <c r="I57" s="8"/>
      <c r="J57" s="9"/>
      <c r="K57" s="9"/>
    </row>
    <row r="58" spans="1:11" ht="19.5" hidden="1" outlineLevel="7" thickBot="1" x14ac:dyDescent="0.35">
      <c r="A58" s="2"/>
      <c r="B58" s="6"/>
      <c r="C58" s="11"/>
      <c r="E58" s="8"/>
      <c r="F58" s="9"/>
      <c r="G58" s="9"/>
      <c r="I58" s="8"/>
      <c r="J58" s="9"/>
      <c r="K58" s="9"/>
    </row>
    <row r="59" spans="1:11" ht="19.5" hidden="1" outlineLevel="7" thickBot="1" x14ac:dyDescent="0.35">
      <c r="A59" s="2"/>
      <c r="B59" s="6"/>
      <c r="C59" s="11"/>
      <c r="E59" s="8"/>
      <c r="F59" s="9"/>
      <c r="G59" s="9"/>
      <c r="I59" s="8"/>
      <c r="J59" s="9"/>
      <c r="K59" s="9"/>
    </row>
    <row r="60" spans="1:11" ht="19.5" hidden="1" outlineLevel="7" thickBot="1" x14ac:dyDescent="0.35">
      <c r="A60" s="2"/>
      <c r="B60" s="6"/>
      <c r="C60" s="11"/>
      <c r="E60" s="8"/>
      <c r="F60" s="9"/>
      <c r="G60" s="9"/>
      <c r="I60" s="8"/>
      <c r="J60" s="9"/>
      <c r="K60" s="9"/>
    </row>
    <row r="61" spans="1:11" ht="19.5" hidden="1" outlineLevel="7" thickBot="1" x14ac:dyDescent="0.35">
      <c r="A61" s="2"/>
      <c r="B61" s="6"/>
      <c r="C61" s="11"/>
      <c r="E61" s="8"/>
      <c r="F61" s="9"/>
      <c r="G61" s="9"/>
      <c r="I61" s="8"/>
      <c r="J61" s="9"/>
      <c r="K61" s="9"/>
    </row>
    <row r="62" spans="1:11" ht="19.5" hidden="1" outlineLevel="7" collapsed="1" thickBot="1" x14ac:dyDescent="0.35">
      <c r="A62" s="2"/>
      <c r="B62" s="6"/>
      <c r="C62" s="11"/>
      <c r="E62" s="8"/>
      <c r="F62" s="9"/>
      <c r="G62" s="9"/>
      <c r="I62" s="8"/>
      <c r="J62" s="9"/>
      <c r="K62" s="9"/>
    </row>
    <row r="63" spans="1:11" ht="19.5" hidden="1" outlineLevel="7" thickBot="1" x14ac:dyDescent="0.35">
      <c r="A63" s="2"/>
      <c r="B63" s="6"/>
      <c r="C63" s="11"/>
      <c r="E63" s="8"/>
      <c r="F63" s="9"/>
      <c r="G63" s="9"/>
      <c r="I63" s="8"/>
      <c r="J63" s="9"/>
      <c r="K63" s="9"/>
    </row>
    <row r="64" spans="1:11" ht="19.5" hidden="1" outlineLevel="7" thickBot="1" x14ac:dyDescent="0.35">
      <c r="A64" s="2"/>
      <c r="B64" s="6"/>
      <c r="C64" s="11"/>
      <c r="E64" s="8"/>
      <c r="F64" s="9"/>
      <c r="G64" s="9"/>
      <c r="I64" s="8"/>
      <c r="J64" s="9"/>
      <c r="K64" s="9"/>
    </row>
    <row r="65" spans="1:11" ht="19.5" hidden="1" outlineLevel="7" thickBot="1" x14ac:dyDescent="0.35">
      <c r="A65" s="2"/>
      <c r="B65" s="6"/>
      <c r="C65" s="11"/>
      <c r="E65" s="8"/>
      <c r="F65" s="9"/>
      <c r="G65" s="9"/>
      <c r="I65" s="8"/>
      <c r="J65" s="9"/>
      <c r="K65" s="9"/>
    </row>
    <row r="66" spans="1:11" ht="19.5" hidden="1" outlineLevel="7" collapsed="1" thickBot="1" x14ac:dyDescent="0.35">
      <c r="A66" s="2"/>
      <c r="B66" s="6"/>
      <c r="C66" s="11"/>
      <c r="E66" s="8"/>
      <c r="F66" s="9"/>
      <c r="G66" s="9"/>
      <c r="I66" s="8"/>
      <c r="J66" s="9"/>
      <c r="K66" s="9"/>
    </row>
    <row r="67" spans="1:11" ht="19.5" hidden="1" outlineLevel="7" thickBot="1" x14ac:dyDescent="0.35">
      <c r="A67" s="2"/>
      <c r="B67" s="6"/>
      <c r="C67" s="11"/>
      <c r="E67" s="8"/>
      <c r="F67" s="9"/>
      <c r="G67" s="9"/>
      <c r="I67" s="8"/>
      <c r="J67" s="9"/>
      <c r="K67" s="9"/>
    </row>
    <row r="68" spans="1:11" ht="19.5" hidden="1" outlineLevel="7" thickBot="1" x14ac:dyDescent="0.35">
      <c r="A68" s="2"/>
      <c r="B68" s="6"/>
      <c r="C68" s="11"/>
      <c r="E68" s="8"/>
      <c r="F68" s="9"/>
      <c r="G68" s="9"/>
      <c r="I68" s="8"/>
      <c r="J68" s="9"/>
      <c r="K68" s="9"/>
    </row>
    <row r="69" spans="1:11" ht="19.5" hidden="1" outlineLevel="7" thickBot="1" x14ac:dyDescent="0.35">
      <c r="A69" s="2"/>
      <c r="B69" s="6"/>
      <c r="C69" s="11"/>
      <c r="E69" s="8"/>
      <c r="F69" s="9"/>
      <c r="G69" s="9"/>
      <c r="I69" s="8"/>
      <c r="J69" s="9"/>
      <c r="K69" s="9"/>
    </row>
    <row r="70" spans="1:11" ht="19.5" hidden="1" outlineLevel="7" thickBot="1" x14ac:dyDescent="0.35">
      <c r="A70" s="2"/>
      <c r="B70" s="6"/>
      <c r="C70" s="11">
        <f>SUM(C31:C42)</f>
        <v>19344</v>
      </c>
      <c r="E70" s="8"/>
      <c r="F70" s="9"/>
      <c r="G70" s="9"/>
      <c r="I70" s="8"/>
      <c r="J70" s="9"/>
      <c r="K70" s="9"/>
    </row>
    <row r="71" spans="1:11" ht="19.5" hidden="1" outlineLevel="7" thickBot="1" x14ac:dyDescent="0.35">
      <c r="A71" s="2"/>
      <c r="B71" s="6"/>
      <c r="C71" s="11"/>
      <c r="E71" s="8"/>
      <c r="F71" s="9"/>
      <c r="G71" s="9"/>
      <c r="I71" s="8"/>
      <c r="J71" s="9"/>
      <c r="K71" s="9"/>
    </row>
    <row r="72" spans="1:11" ht="19.5" hidden="1" outlineLevel="7" thickBot="1" x14ac:dyDescent="0.35">
      <c r="A72" s="2"/>
      <c r="B72" s="6"/>
      <c r="C72" s="11"/>
      <c r="E72" s="8"/>
      <c r="F72" s="9"/>
      <c r="G72" s="9"/>
      <c r="I72" s="8"/>
      <c r="J72" s="9"/>
      <c r="K72" s="9"/>
    </row>
    <row r="73" spans="1:11" ht="19.5" hidden="1" outlineLevel="7" thickBot="1" x14ac:dyDescent="0.35">
      <c r="A73" s="2"/>
      <c r="B73" s="6"/>
      <c r="C73" s="11"/>
      <c r="E73" s="8"/>
      <c r="F73" s="9"/>
      <c r="G73" s="9"/>
      <c r="I73" s="8"/>
      <c r="J73" s="9"/>
      <c r="K73" s="9"/>
    </row>
    <row r="74" spans="1:11" ht="19.5" hidden="1" outlineLevel="7" collapsed="1" thickBot="1" x14ac:dyDescent="0.35">
      <c r="A74" s="2"/>
      <c r="B74" s="6"/>
      <c r="C74" s="11">
        <f>SUM(C32:C70)</f>
        <v>35418</v>
      </c>
      <c r="E74" s="8"/>
      <c r="F74" s="9"/>
      <c r="G74" s="9"/>
      <c r="I74" s="8"/>
      <c r="J74" s="9"/>
      <c r="K74" s="9"/>
    </row>
    <row r="75" spans="1:11" ht="19.5" hidden="1" outlineLevel="7" thickBot="1" x14ac:dyDescent="0.35">
      <c r="A75" s="2"/>
      <c r="B75" s="6"/>
      <c r="C75" s="11"/>
      <c r="E75" s="8"/>
      <c r="F75" s="9"/>
      <c r="G75" s="9"/>
      <c r="I75" s="8"/>
      <c r="J75" s="9"/>
      <c r="K75" s="9"/>
    </row>
    <row r="76" spans="1:11" ht="19.5" hidden="1" outlineLevel="7" thickBot="1" x14ac:dyDescent="0.35">
      <c r="A76" s="2"/>
      <c r="B76" s="6"/>
      <c r="C76" s="11"/>
      <c r="E76" s="8"/>
      <c r="F76" s="9"/>
      <c r="G76" s="9"/>
      <c r="I76" s="8"/>
      <c r="J76" s="9"/>
      <c r="K76" s="9"/>
    </row>
    <row r="77" spans="1:11" ht="19.5" hidden="1" outlineLevel="7" thickBot="1" x14ac:dyDescent="0.35">
      <c r="A77" s="2"/>
      <c r="B77" s="6"/>
      <c r="C77" s="11"/>
      <c r="E77" s="8"/>
      <c r="F77" s="9"/>
      <c r="G77" s="9"/>
      <c r="I77" s="8"/>
      <c r="J77" s="9"/>
      <c r="K77" s="9"/>
    </row>
    <row r="78" spans="1:11" ht="19.5" hidden="1" outlineLevel="7" collapsed="1" thickBot="1" x14ac:dyDescent="0.35">
      <c r="A78" s="2"/>
      <c r="B78" s="6"/>
      <c r="C78" s="11">
        <f>SUM(C42:C74)</f>
        <v>66566</v>
      </c>
      <c r="E78" s="8"/>
      <c r="F78" s="9"/>
      <c r="G78" s="9"/>
      <c r="I78" s="8"/>
      <c r="J78" s="9"/>
      <c r="K78" s="9"/>
    </row>
    <row r="79" spans="1:11" ht="19.5" hidden="1" outlineLevel="7" thickBot="1" x14ac:dyDescent="0.35">
      <c r="A79" s="2"/>
      <c r="B79" s="6"/>
      <c r="C79" s="11"/>
      <c r="E79" s="8"/>
      <c r="F79" s="9"/>
      <c r="G79" s="9"/>
      <c r="I79" s="8"/>
      <c r="J79" s="9"/>
      <c r="K79" s="9"/>
    </row>
    <row r="80" spans="1:11" ht="19.5" hidden="1" outlineLevel="7" thickBot="1" x14ac:dyDescent="0.35">
      <c r="A80" s="2"/>
      <c r="B80" s="6"/>
      <c r="C80" s="11"/>
      <c r="E80" s="8"/>
      <c r="F80" s="9"/>
      <c r="G80" s="9"/>
      <c r="I80" s="8"/>
      <c r="J80" s="9"/>
      <c r="K80" s="9"/>
    </row>
    <row r="81" spans="1:11" ht="19.5" hidden="1" outlineLevel="7" thickBot="1" x14ac:dyDescent="0.35">
      <c r="A81" s="2"/>
      <c r="B81" s="6"/>
      <c r="C81" s="11"/>
      <c r="E81" s="8"/>
      <c r="F81" s="9"/>
      <c r="G81" s="9"/>
      <c r="I81" s="8"/>
      <c r="J81" s="9"/>
      <c r="K81" s="9"/>
    </row>
    <row r="82" spans="1:11" ht="19.5" hidden="1" outlineLevel="6" thickBot="1" x14ac:dyDescent="0.35">
      <c r="A82" s="2"/>
      <c r="B82" s="6"/>
      <c r="C82" s="11">
        <f>SUM(C70:C78)</f>
        <v>121328</v>
      </c>
      <c r="E82" s="8"/>
      <c r="F82" s="9"/>
      <c r="G82" s="9"/>
      <c r="I82" s="8"/>
      <c r="J82" s="9"/>
      <c r="K82" s="9"/>
    </row>
    <row r="83" spans="1:11" ht="19.5" hidden="1" outlineLevel="6" collapsed="1" thickBot="1" x14ac:dyDescent="0.35">
      <c r="A83" s="2"/>
      <c r="B83" s="6"/>
      <c r="C83" s="11">
        <f>SUM(C74:C82)</f>
        <v>223312</v>
      </c>
      <c r="E83" s="8"/>
      <c r="F83" s="9"/>
      <c r="G83" s="9"/>
      <c r="I83" s="8"/>
      <c r="J83" s="9"/>
      <c r="K83" s="9"/>
    </row>
    <row r="84" spans="1:11" ht="19.5" hidden="1" outlineLevel="6" collapsed="1" thickBot="1" x14ac:dyDescent="0.35">
      <c r="A84" s="2"/>
      <c r="B84" s="6"/>
      <c r="C84" s="11">
        <f>SUM(C78:C83)</f>
        <v>411206</v>
      </c>
      <c r="E84" s="8"/>
      <c r="F84" s="9"/>
      <c r="G84" s="9"/>
      <c r="I84" s="8"/>
      <c r="J84" s="9"/>
      <c r="K84" s="9"/>
    </row>
    <row r="85" spans="1:11" ht="19.5" hidden="1" outlineLevel="5" thickBot="1" x14ac:dyDescent="0.35">
      <c r="A85" s="2"/>
      <c r="B85" s="6"/>
      <c r="C85" s="11">
        <f t="shared" ref="C85:C142" si="0">SUM(C82:C84)</f>
        <v>755846</v>
      </c>
      <c r="E85" s="8"/>
      <c r="F85" s="9"/>
      <c r="G85" s="9"/>
      <c r="I85" s="8"/>
      <c r="J85" s="9"/>
      <c r="K85" s="9"/>
    </row>
    <row r="86" spans="1:11" ht="19.5" hidden="1" outlineLevel="6" thickBot="1" x14ac:dyDescent="0.35">
      <c r="A86" s="2"/>
      <c r="B86" s="6"/>
      <c r="C86" s="11">
        <f t="shared" si="0"/>
        <v>1390364</v>
      </c>
      <c r="E86" s="8"/>
      <c r="F86" s="9"/>
      <c r="G86" s="9"/>
      <c r="I86" s="8"/>
      <c r="J86" s="9"/>
      <c r="K86" s="9"/>
    </row>
    <row r="87" spans="1:11" ht="19.5" hidden="1" outlineLevel="6" collapsed="1" thickBot="1" x14ac:dyDescent="0.35">
      <c r="A87" s="2"/>
      <c r="B87" s="6"/>
      <c r="C87" s="11">
        <f t="shared" si="0"/>
        <v>2557416</v>
      </c>
      <c r="E87" s="8"/>
      <c r="F87" s="9"/>
      <c r="G87" s="9"/>
      <c r="I87" s="8"/>
      <c r="J87" s="9"/>
      <c r="K87" s="9"/>
    </row>
    <row r="88" spans="1:11" ht="19.5" hidden="1" outlineLevel="6" collapsed="1" thickBot="1" x14ac:dyDescent="0.35">
      <c r="A88" s="2"/>
      <c r="B88" s="6"/>
      <c r="C88" s="11">
        <f t="shared" si="0"/>
        <v>4703626</v>
      </c>
      <c r="E88" s="8"/>
      <c r="F88" s="9"/>
      <c r="G88" s="9"/>
      <c r="I88" s="8"/>
      <c r="J88" s="9"/>
      <c r="K88" s="9"/>
    </row>
    <row r="89" spans="1:11" ht="19.5" hidden="1" outlineLevel="5" collapsed="1" thickBot="1" x14ac:dyDescent="0.35">
      <c r="A89" s="2"/>
      <c r="B89" s="6"/>
      <c r="C89" s="11">
        <f t="shared" si="0"/>
        <v>8651406</v>
      </c>
      <c r="E89" s="8"/>
      <c r="F89" s="9"/>
      <c r="G89" s="9"/>
      <c r="I89" s="8"/>
      <c r="J89" s="9"/>
      <c r="K89" s="9"/>
    </row>
    <row r="90" spans="1:11" ht="19.5" hidden="1" outlineLevel="6" thickBot="1" x14ac:dyDescent="0.35">
      <c r="A90" s="2"/>
      <c r="B90" s="6"/>
      <c r="C90" s="11">
        <f t="shared" si="0"/>
        <v>15912448</v>
      </c>
      <c r="E90" s="8"/>
      <c r="F90" s="9"/>
      <c r="G90" s="9"/>
      <c r="I90" s="8"/>
      <c r="J90" s="9"/>
      <c r="K90" s="9"/>
    </row>
    <row r="91" spans="1:11" ht="19.5" hidden="1" outlineLevel="6" collapsed="1" thickBot="1" x14ac:dyDescent="0.35">
      <c r="A91" s="2"/>
      <c r="B91" s="6"/>
      <c r="C91" s="11">
        <f t="shared" si="0"/>
        <v>29267480</v>
      </c>
      <c r="E91" s="8"/>
      <c r="F91" s="9"/>
      <c r="G91" s="9"/>
      <c r="I91" s="8"/>
      <c r="J91" s="9"/>
      <c r="K91" s="9"/>
    </row>
    <row r="92" spans="1:11" ht="19.5" hidden="1" outlineLevel="6" collapsed="1" thickBot="1" x14ac:dyDescent="0.35">
      <c r="A92" s="2"/>
      <c r="B92" s="6"/>
      <c r="C92" s="11">
        <f t="shared" si="0"/>
        <v>53831334</v>
      </c>
      <c r="E92" s="8"/>
      <c r="F92" s="9"/>
      <c r="G92" s="9"/>
      <c r="I92" s="8"/>
      <c r="J92" s="9"/>
      <c r="K92" s="9"/>
    </row>
    <row r="93" spans="1:11" ht="19.5" hidden="1" outlineLevel="5" collapsed="1" thickBot="1" x14ac:dyDescent="0.35">
      <c r="A93" s="2"/>
      <c r="B93" s="6"/>
      <c r="C93" s="11">
        <f t="shared" si="0"/>
        <v>99011262</v>
      </c>
      <c r="E93" s="8"/>
      <c r="F93" s="9"/>
      <c r="G93" s="9"/>
      <c r="I93" s="8"/>
      <c r="J93" s="9"/>
      <c r="K93" s="9"/>
    </row>
    <row r="94" spans="1:11" ht="19.5" hidden="1" outlineLevel="6" thickBot="1" x14ac:dyDescent="0.35">
      <c r="A94" s="2"/>
      <c r="B94" s="6"/>
      <c r="C94" s="11">
        <f t="shared" si="0"/>
        <v>182110076</v>
      </c>
      <c r="E94" s="8"/>
      <c r="F94" s="9"/>
      <c r="G94" s="9"/>
      <c r="I94" s="8"/>
      <c r="J94" s="9"/>
      <c r="K94" s="9"/>
    </row>
    <row r="95" spans="1:11" ht="19.5" hidden="1" outlineLevel="6" thickBot="1" x14ac:dyDescent="0.35">
      <c r="A95" s="2"/>
      <c r="B95" s="6"/>
      <c r="C95" s="11">
        <f t="shared" si="0"/>
        <v>334952672</v>
      </c>
      <c r="E95" s="8"/>
      <c r="F95" s="9"/>
      <c r="G95" s="9"/>
      <c r="I95" s="8"/>
      <c r="J95" s="9"/>
      <c r="K95" s="9"/>
    </row>
    <row r="96" spans="1:11" ht="19.5" hidden="1" outlineLevel="6" thickBot="1" x14ac:dyDescent="0.35">
      <c r="A96" s="2"/>
      <c r="B96" s="6"/>
      <c r="C96" s="11">
        <f t="shared" si="0"/>
        <v>616074010</v>
      </c>
      <c r="E96" s="8"/>
      <c r="F96" s="9"/>
      <c r="G96" s="9"/>
      <c r="I96" s="8"/>
      <c r="J96" s="9"/>
      <c r="K96" s="9"/>
    </row>
    <row r="97" spans="1:11" ht="19.5" hidden="1" outlineLevel="4" thickBot="1" x14ac:dyDescent="0.35">
      <c r="A97" s="2"/>
      <c r="B97" s="6"/>
      <c r="C97" s="11">
        <f t="shared" si="0"/>
        <v>1133136758</v>
      </c>
      <c r="E97" s="8"/>
      <c r="F97" s="9"/>
      <c r="G97" s="9"/>
      <c r="I97" s="8"/>
      <c r="J97" s="9"/>
      <c r="K97" s="9"/>
    </row>
    <row r="98" spans="1:11" ht="19.5" hidden="1" outlineLevel="5" thickBot="1" x14ac:dyDescent="0.35">
      <c r="A98" s="2"/>
      <c r="B98" s="6"/>
      <c r="C98" s="11">
        <f t="shared" si="0"/>
        <v>2084163440</v>
      </c>
      <c r="E98" s="8"/>
      <c r="F98" s="9"/>
      <c r="G98" s="9"/>
      <c r="I98" s="8"/>
      <c r="J98" s="9"/>
      <c r="K98" s="9"/>
    </row>
    <row r="99" spans="1:11" ht="19.5" hidden="1" outlineLevel="5" collapsed="1" thickBot="1" x14ac:dyDescent="0.35">
      <c r="A99" s="2"/>
      <c r="B99" s="6"/>
      <c r="C99" s="11">
        <f t="shared" si="0"/>
        <v>3833374208</v>
      </c>
      <c r="E99" s="8"/>
      <c r="F99" s="9"/>
      <c r="G99" s="9"/>
      <c r="I99" s="8"/>
      <c r="J99" s="9"/>
      <c r="K99" s="9"/>
    </row>
    <row r="100" spans="1:11" ht="19.5" hidden="1" outlineLevel="5" collapsed="1" thickBot="1" x14ac:dyDescent="0.35">
      <c r="A100" s="2"/>
      <c r="B100" s="6"/>
      <c r="C100" s="11">
        <f t="shared" si="0"/>
        <v>7050674406</v>
      </c>
      <c r="E100" s="8"/>
      <c r="F100" s="9"/>
      <c r="G100" s="9"/>
      <c r="I100" s="8"/>
      <c r="J100" s="9"/>
      <c r="K100" s="9"/>
    </row>
    <row r="101" spans="1:11" ht="19.5" hidden="1" outlineLevel="4" collapsed="1" thickBot="1" x14ac:dyDescent="0.35">
      <c r="A101" s="2"/>
      <c r="B101" s="6"/>
      <c r="C101" s="11">
        <f t="shared" si="0"/>
        <v>12968212054</v>
      </c>
      <c r="E101" s="8"/>
      <c r="F101" s="9"/>
      <c r="G101" s="9"/>
      <c r="I101" s="8"/>
      <c r="J101" s="9"/>
      <c r="K101" s="9"/>
    </row>
    <row r="102" spans="1:11" ht="19.5" hidden="1" outlineLevel="5" thickBot="1" x14ac:dyDescent="0.35">
      <c r="A102" s="2"/>
      <c r="B102" s="6"/>
      <c r="C102" s="11">
        <f t="shared" si="0"/>
        <v>23852260668</v>
      </c>
      <c r="E102" s="8"/>
      <c r="F102" s="9"/>
      <c r="G102" s="9"/>
      <c r="I102" s="8"/>
      <c r="J102" s="9"/>
      <c r="K102" s="9"/>
    </row>
    <row r="103" spans="1:11" ht="19.5" hidden="1" outlineLevel="5" collapsed="1" thickBot="1" x14ac:dyDescent="0.35">
      <c r="A103" s="2"/>
      <c r="B103" s="6"/>
      <c r="C103" s="11">
        <f t="shared" si="0"/>
        <v>43871147128</v>
      </c>
      <c r="E103" s="8"/>
      <c r="F103" s="9"/>
      <c r="G103" s="9"/>
      <c r="I103" s="8"/>
      <c r="J103" s="9"/>
      <c r="K103" s="9"/>
    </row>
    <row r="104" spans="1:11" ht="19.5" hidden="1" outlineLevel="5" collapsed="1" thickBot="1" x14ac:dyDescent="0.35">
      <c r="A104" s="2"/>
      <c r="B104" s="6"/>
      <c r="C104" s="11">
        <f t="shared" si="0"/>
        <v>80691619850</v>
      </c>
      <c r="E104" s="8"/>
      <c r="F104" s="9"/>
      <c r="G104" s="9"/>
      <c r="I104" s="8"/>
      <c r="J104" s="9"/>
      <c r="K104" s="9"/>
    </row>
    <row r="105" spans="1:11" ht="19.5" hidden="1" outlineLevel="4" collapsed="1" thickBot="1" x14ac:dyDescent="0.35">
      <c r="A105" s="2"/>
      <c r="B105" s="6"/>
      <c r="C105" s="11">
        <f t="shared" si="0"/>
        <v>148415027646</v>
      </c>
      <c r="E105" s="8"/>
      <c r="F105" s="9"/>
      <c r="G105" s="9"/>
      <c r="I105" s="8"/>
      <c r="J105" s="9"/>
      <c r="K105" s="9"/>
    </row>
    <row r="106" spans="1:11" ht="19.5" hidden="1" outlineLevel="5" thickBot="1" x14ac:dyDescent="0.35">
      <c r="A106" s="2"/>
      <c r="B106" s="6"/>
      <c r="C106" s="11">
        <f t="shared" si="0"/>
        <v>272977794624</v>
      </c>
      <c r="E106" s="8"/>
      <c r="F106" s="9"/>
      <c r="G106" s="9"/>
      <c r="I106" s="8"/>
      <c r="J106" s="9"/>
      <c r="K106" s="9"/>
    </row>
    <row r="107" spans="1:11" ht="19.5" hidden="1" outlineLevel="5" thickBot="1" x14ac:dyDescent="0.35">
      <c r="A107" s="2"/>
      <c r="B107" s="6"/>
      <c r="C107" s="11">
        <f t="shared" si="0"/>
        <v>502084442120</v>
      </c>
      <c r="E107" s="8"/>
      <c r="F107" s="9"/>
      <c r="G107" s="9"/>
      <c r="I107" s="8"/>
      <c r="J107" s="9"/>
      <c r="K107" s="9"/>
    </row>
    <row r="108" spans="1:11" ht="19.5" hidden="1" outlineLevel="5" thickBot="1" x14ac:dyDescent="0.35">
      <c r="A108" s="2"/>
      <c r="B108" s="6"/>
      <c r="C108" s="11">
        <f t="shared" si="0"/>
        <v>923477264390</v>
      </c>
      <c r="E108" s="8"/>
      <c r="F108" s="9"/>
      <c r="G108" s="9"/>
      <c r="I108" s="8"/>
      <c r="J108" s="9"/>
      <c r="K108" s="9"/>
    </row>
    <row r="109" spans="1:11" ht="19.5" hidden="1" outlineLevel="3" thickBot="1" x14ac:dyDescent="0.35">
      <c r="A109" s="2"/>
      <c r="B109" s="6"/>
      <c r="C109" s="11">
        <f t="shared" si="0"/>
        <v>1698539501134</v>
      </c>
      <c r="E109" s="8"/>
      <c r="F109" s="9"/>
      <c r="G109" s="9"/>
      <c r="I109" s="8"/>
      <c r="J109" s="9"/>
      <c r="K109" s="9"/>
    </row>
    <row r="110" spans="1:11" ht="19.5" hidden="1" outlineLevel="4" thickBot="1" x14ac:dyDescent="0.35">
      <c r="A110" s="2"/>
      <c r="B110" s="6"/>
      <c r="C110" s="11">
        <f t="shared" si="0"/>
        <v>3124101207644</v>
      </c>
      <c r="E110" s="8"/>
      <c r="F110" s="9"/>
      <c r="G110" s="9"/>
      <c r="I110" s="8"/>
      <c r="J110" s="9"/>
      <c r="K110" s="9"/>
    </row>
    <row r="111" spans="1:11" ht="19.5" hidden="1" outlineLevel="4" collapsed="1" thickBot="1" x14ac:dyDescent="0.35">
      <c r="A111" s="2"/>
      <c r="B111" s="6"/>
      <c r="C111" s="11">
        <f t="shared" si="0"/>
        <v>5746117973168</v>
      </c>
      <c r="E111" s="8"/>
      <c r="F111" s="9"/>
      <c r="G111" s="9"/>
      <c r="I111" s="8"/>
      <c r="J111" s="9"/>
      <c r="K111" s="9"/>
    </row>
    <row r="112" spans="1:11" ht="19.5" hidden="1" outlineLevel="4" collapsed="1" thickBot="1" x14ac:dyDescent="0.35">
      <c r="A112" s="2"/>
      <c r="B112" s="6"/>
      <c r="C112" s="11">
        <f t="shared" si="0"/>
        <v>10568758681946</v>
      </c>
      <c r="E112" s="8"/>
      <c r="F112" s="9"/>
      <c r="G112" s="9"/>
      <c r="I112" s="8"/>
      <c r="J112" s="9"/>
      <c r="K112" s="9"/>
    </row>
    <row r="113" spans="1:11" ht="19.5" hidden="1" outlineLevel="3" collapsed="1" thickBot="1" x14ac:dyDescent="0.35">
      <c r="A113" s="2"/>
      <c r="B113" s="6"/>
      <c r="C113" s="11">
        <f t="shared" si="0"/>
        <v>19438977862758</v>
      </c>
      <c r="E113" s="8"/>
      <c r="F113" s="9"/>
      <c r="G113" s="9"/>
      <c r="I113" s="8"/>
      <c r="J113" s="9"/>
      <c r="K113" s="9"/>
    </row>
    <row r="114" spans="1:11" ht="19.5" hidden="1" outlineLevel="4" thickBot="1" x14ac:dyDescent="0.35">
      <c r="A114" s="2"/>
      <c r="B114" s="6"/>
      <c r="C114" s="11">
        <f t="shared" si="0"/>
        <v>35753854517872</v>
      </c>
      <c r="E114" s="8"/>
      <c r="F114" s="9"/>
      <c r="G114" s="9"/>
      <c r="I114" s="8"/>
      <c r="J114" s="9"/>
      <c r="K114" s="9"/>
    </row>
    <row r="115" spans="1:11" ht="19.5" hidden="1" outlineLevel="4" collapsed="1" thickBot="1" x14ac:dyDescent="0.35">
      <c r="A115" s="2"/>
      <c r="B115" s="6"/>
      <c r="C115" s="11">
        <f t="shared" si="0"/>
        <v>65761591062576</v>
      </c>
      <c r="E115" s="8"/>
      <c r="F115" s="9"/>
      <c r="G115" s="9"/>
      <c r="I115" s="8"/>
      <c r="J115" s="9"/>
      <c r="K115" s="9"/>
    </row>
    <row r="116" spans="1:11" ht="19.5" hidden="1" outlineLevel="4" collapsed="1" thickBot="1" x14ac:dyDescent="0.35">
      <c r="A116" s="2"/>
      <c r="B116" s="6"/>
      <c r="C116" s="11">
        <f t="shared" si="0"/>
        <v>120954423443206</v>
      </c>
      <c r="E116" s="8"/>
      <c r="F116" s="9"/>
      <c r="G116" s="9"/>
      <c r="I116" s="8"/>
      <c r="J116" s="9"/>
      <c r="K116" s="9"/>
    </row>
    <row r="117" spans="1:11" ht="19.5" hidden="1" outlineLevel="3" collapsed="1" thickBot="1" x14ac:dyDescent="0.35">
      <c r="A117" s="2"/>
      <c r="B117" s="6"/>
      <c r="C117" s="11">
        <f t="shared" si="0"/>
        <v>222469869023654</v>
      </c>
      <c r="E117" s="8"/>
      <c r="F117" s="9"/>
      <c r="G117" s="9"/>
      <c r="I117" s="8"/>
      <c r="J117" s="9"/>
      <c r="K117" s="9"/>
    </row>
    <row r="118" spans="1:11" ht="19.5" hidden="1" outlineLevel="4" thickBot="1" x14ac:dyDescent="0.35">
      <c r="A118" s="2"/>
      <c r="B118" s="6"/>
      <c r="C118" s="11">
        <f t="shared" si="0"/>
        <v>409185883529436</v>
      </c>
      <c r="E118" s="8"/>
      <c r="F118" s="9"/>
      <c r="G118" s="9"/>
      <c r="I118" s="8"/>
      <c r="J118" s="9"/>
      <c r="K118" s="9"/>
    </row>
    <row r="119" spans="1:11" ht="19.5" hidden="1" outlineLevel="4" thickBot="1" x14ac:dyDescent="0.35">
      <c r="A119" s="2"/>
      <c r="B119" s="6"/>
      <c r="C119" s="11">
        <f t="shared" si="0"/>
        <v>752610175996296</v>
      </c>
      <c r="E119" s="8"/>
      <c r="F119" s="9"/>
      <c r="G119" s="9"/>
      <c r="I119" s="8"/>
      <c r="J119" s="9"/>
      <c r="K119" s="9"/>
    </row>
    <row r="120" spans="1:11" ht="19.5" hidden="1" outlineLevel="4" thickBot="1" x14ac:dyDescent="0.35">
      <c r="A120" s="2"/>
      <c r="B120" s="6"/>
      <c r="C120" s="11">
        <f t="shared" si="0"/>
        <v>1384265928549386</v>
      </c>
      <c r="E120" s="8"/>
      <c r="F120" s="9"/>
      <c r="G120" s="9"/>
      <c r="I120" s="8"/>
      <c r="J120" s="9"/>
      <c r="K120" s="9"/>
    </row>
    <row r="121" spans="1:11" ht="19.5" hidden="1" outlineLevel="2" thickBot="1" x14ac:dyDescent="0.35">
      <c r="A121" s="2"/>
      <c r="B121" s="6"/>
      <c r="C121" s="11">
        <f t="shared" si="0"/>
        <v>2546061988075118</v>
      </c>
      <c r="E121" s="8"/>
      <c r="F121" s="9"/>
      <c r="G121" s="9"/>
      <c r="I121" s="8"/>
      <c r="J121" s="9"/>
      <c r="K121" s="9"/>
    </row>
    <row r="122" spans="1:11" ht="19.5" hidden="1" outlineLevel="3" thickBot="1" x14ac:dyDescent="0.35">
      <c r="A122" s="2"/>
      <c r="B122" s="6"/>
      <c r="C122" s="11">
        <f t="shared" si="0"/>
        <v>4682938092620800</v>
      </c>
      <c r="E122" s="8"/>
      <c r="F122" s="9"/>
      <c r="G122" s="9"/>
      <c r="I122" s="8"/>
      <c r="J122" s="9"/>
      <c r="K122" s="9"/>
    </row>
    <row r="123" spans="1:11" ht="19.5" hidden="1" outlineLevel="3" collapsed="1" thickBot="1" x14ac:dyDescent="0.35">
      <c r="A123" s="2"/>
      <c r="B123" s="6"/>
      <c r="C123" s="11">
        <f t="shared" si="0"/>
        <v>8613266009245304</v>
      </c>
      <c r="E123" s="8"/>
      <c r="F123" s="9"/>
      <c r="G123" s="9"/>
      <c r="I123" s="8"/>
      <c r="J123" s="9"/>
      <c r="K123" s="9"/>
    </row>
    <row r="124" spans="1:11" ht="19.5" hidden="1" outlineLevel="3" collapsed="1" thickBot="1" x14ac:dyDescent="0.35">
      <c r="A124" s="2"/>
      <c r="B124" s="6"/>
      <c r="C124" s="11">
        <f t="shared" si="0"/>
        <v>1.5842266089941222E+16</v>
      </c>
      <c r="E124" s="8"/>
      <c r="F124" s="9"/>
      <c r="G124" s="9"/>
      <c r="I124" s="8"/>
      <c r="J124" s="9"/>
      <c r="K124" s="9"/>
    </row>
    <row r="125" spans="1:11" ht="19.5" hidden="1" outlineLevel="2" collapsed="1" thickBot="1" x14ac:dyDescent="0.35">
      <c r="A125" s="2"/>
      <c r="B125" s="6"/>
      <c r="C125" s="11">
        <f t="shared" si="0"/>
        <v>2.9138470191807328E+16</v>
      </c>
      <c r="E125" s="8"/>
      <c r="F125" s="9"/>
      <c r="G125" s="9"/>
      <c r="I125" s="8"/>
      <c r="J125" s="9"/>
      <c r="K125" s="9"/>
    </row>
    <row r="126" spans="1:11" ht="19.5" hidden="1" outlineLevel="3" thickBot="1" x14ac:dyDescent="0.35">
      <c r="A126" s="2"/>
      <c r="B126" s="6"/>
      <c r="C126" s="11">
        <f t="shared" si="0"/>
        <v>5.3594002290993856E+16</v>
      </c>
      <c r="E126" s="8"/>
      <c r="F126" s="9"/>
      <c r="G126" s="9"/>
      <c r="I126" s="8"/>
      <c r="J126" s="9"/>
      <c r="K126" s="9"/>
    </row>
    <row r="127" spans="1:11" ht="19.5" hidden="1" outlineLevel="3" collapsed="1" thickBot="1" x14ac:dyDescent="0.35">
      <c r="A127" s="2"/>
      <c r="B127" s="6"/>
      <c r="C127" s="11">
        <f t="shared" si="0"/>
        <v>9.85747385727424E+16</v>
      </c>
      <c r="E127" s="8"/>
      <c r="F127" s="9"/>
      <c r="G127" s="9"/>
      <c r="I127" s="8"/>
      <c r="J127" s="9"/>
      <c r="K127" s="9"/>
    </row>
    <row r="128" spans="1:11" ht="19.5" hidden="1" outlineLevel="3" collapsed="1" thickBot="1" x14ac:dyDescent="0.35">
      <c r="A128" s="2"/>
      <c r="B128" s="6"/>
      <c r="C128" s="11">
        <f t="shared" si="0"/>
        <v>1.8130721105554358E+17</v>
      </c>
      <c r="E128" s="8"/>
      <c r="F128" s="9"/>
      <c r="G128" s="9"/>
      <c r="I128" s="8"/>
      <c r="J128" s="9"/>
      <c r="K128" s="9"/>
    </row>
    <row r="129" spans="1:11" ht="19.5" hidden="1" outlineLevel="2" collapsed="1" thickBot="1" x14ac:dyDescent="0.35">
      <c r="A129" s="2"/>
      <c r="B129" s="6"/>
      <c r="C129" s="11">
        <f t="shared" si="0"/>
        <v>3.3347595191927987E+17</v>
      </c>
      <c r="E129" s="8"/>
      <c r="F129" s="9"/>
      <c r="G129" s="9"/>
      <c r="I129" s="8"/>
      <c r="J129" s="9"/>
      <c r="K129" s="9"/>
    </row>
    <row r="130" spans="1:11" ht="19.5" hidden="1" outlineLevel="3" thickBot="1" x14ac:dyDescent="0.35">
      <c r="A130" s="2"/>
      <c r="B130" s="6"/>
      <c r="C130" s="11">
        <f t="shared" si="0"/>
        <v>6.1335790154756582E+17</v>
      </c>
      <c r="E130" s="8"/>
      <c r="F130" s="9"/>
      <c r="G130" s="9"/>
      <c r="I130" s="8"/>
      <c r="J130" s="9"/>
      <c r="K130" s="9"/>
    </row>
    <row r="131" spans="1:11" ht="19.5" hidden="1" outlineLevel="3" thickBot="1" x14ac:dyDescent="0.35">
      <c r="A131" s="2"/>
      <c r="B131" s="6"/>
      <c r="C131" s="11">
        <f t="shared" si="0"/>
        <v>1.1281410645223892E+18</v>
      </c>
      <c r="E131" s="8"/>
      <c r="F131" s="9"/>
      <c r="G131" s="9"/>
      <c r="I131" s="8"/>
      <c r="J131" s="9"/>
      <c r="K131" s="9"/>
    </row>
    <row r="132" spans="1:11" ht="19.5" hidden="1" outlineLevel="3" thickBot="1" x14ac:dyDescent="0.35">
      <c r="A132" s="2"/>
      <c r="B132" s="6"/>
      <c r="C132" s="11">
        <f t="shared" si="0"/>
        <v>2.0749749179892349E+18</v>
      </c>
      <c r="E132" s="8"/>
      <c r="F132" s="9"/>
      <c r="G132" s="9"/>
      <c r="I132" s="8"/>
      <c r="J132" s="9"/>
      <c r="K132" s="9"/>
    </row>
    <row r="133" spans="1:11" ht="19.5" hidden="1" outlineLevel="1" thickBot="1" x14ac:dyDescent="0.35">
      <c r="A133" s="2"/>
      <c r="B133" s="6">
        <f>Март!$G$5</f>
        <v>12</v>
      </c>
      <c r="C133" s="11">
        <f t="shared" si="0"/>
        <v>3.8164738840591903E+18</v>
      </c>
      <c r="E133" s="8"/>
      <c r="F133" s="9"/>
      <c r="G133" s="9"/>
      <c r="I133" s="8"/>
      <c r="J133" s="9"/>
      <c r="K133" s="9"/>
    </row>
    <row r="134" spans="1:11" ht="19.5" hidden="1" outlineLevel="2" thickBot="1" x14ac:dyDescent="0.35">
      <c r="A134" s="2"/>
      <c r="B134" s="6"/>
      <c r="C134" s="11">
        <f t="shared" si="0"/>
        <v>7.0195898665708145E+18</v>
      </c>
      <c r="E134" s="8"/>
      <c r="F134" s="9"/>
      <c r="G134" s="9"/>
      <c r="I134" s="8"/>
      <c r="J134" s="9"/>
      <c r="K134" s="9"/>
    </row>
    <row r="135" spans="1:11" ht="19.5" hidden="1" outlineLevel="2" collapsed="1" thickBot="1" x14ac:dyDescent="0.35">
      <c r="A135" s="2"/>
      <c r="B135" s="6"/>
      <c r="C135" s="11">
        <f t="shared" si="0"/>
        <v>1.2911038668619239E+19</v>
      </c>
      <c r="E135" s="8"/>
      <c r="F135" s="9"/>
      <c r="G135" s="9"/>
      <c r="I135" s="8"/>
      <c r="J135" s="9"/>
      <c r="K135" s="9"/>
    </row>
    <row r="136" spans="1:11" ht="19.5" hidden="1" outlineLevel="2" collapsed="1" thickBot="1" x14ac:dyDescent="0.35">
      <c r="A136" s="2"/>
      <c r="B136" s="6"/>
      <c r="C136" s="11">
        <f t="shared" si="0"/>
        <v>2.3747102419249242E+19</v>
      </c>
      <c r="E136" s="8"/>
      <c r="F136" s="9"/>
      <c r="G136" s="9"/>
      <c r="I136" s="8"/>
      <c r="J136" s="9"/>
      <c r="K136" s="9"/>
    </row>
    <row r="137" spans="1:11" ht="19.5" hidden="1" outlineLevel="1" collapsed="1" thickBot="1" x14ac:dyDescent="0.35">
      <c r="A137" s="2"/>
      <c r="B137" s="6">
        <f>Февраль!$G$5</f>
        <v>12</v>
      </c>
      <c r="C137" s="11">
        <f t="shared" si="0"/>
        <v>4.3677730954439295E+19</v>
      </c>
      <c r="E137" s="8"/>
      <c r="F137" s="9"/>
      <c r="G137" s="9"/>
      <c r="I137" s="8"/>
      <c r="J137" s="9"/>
      <c r="K137" s="9"/>
    </row>
    <row r="138" spans="1:11" ht="19.5" hidden="1" outlineLevel="2" thickBot="1" x14ac:dyDescent="0.35">
      <c r="A138" s="2"/>
      <c r="B138" s="6"/>
      <c r="C138" s="11">
        <f t="shared" si="0"/>
        <v>8.0335872042307781E+19</v>
      </c>
      <c r="E138" s="8"/>
      <c r="F138" s="9"/>
      <c r="G138" s="9"/>
      <c r="I138" s="8"/>
      <c r="J138" s="9"/>
      <c r="K138" s="9"/>
    </row>
    <row r="139" spans="1:11" ht="19.5" hidden="1" outlineLevel="2" collapsed="1" thickBot="1" x14ac:dyDescent="0.35">
      <c r="A139" s="2"/>
      <c r="B139" s="6"/>
      <c r="C139" s="11">
        <f t="shared" si="0"/>
        <v>1.4776070541599631E+20</v>
      </c>
      <c r="E139" s="8"/>
      <c r="F139" s="9"/>
      <c r="G139" s="9"/>
      <c r="I139" s="8"/>
      <c r="J139" s="9"/>
      <c r="K139" s="9"/>
    </row>
    <row r="140" spans="1:11" ht="19.5" hidden="1" outlineLevel="2" collapsed="1" thickBot="1" x14ac:dyDescent="0.35">
      <c r="A140" s="2"/>
      <c r="B140" s="6"/>
      <c r="C140" s="11">
        <f t="shared" si="0"/>
        <v>2.7177430841274339E+20</v>
      </c>
      <c r="E140" s="8"/>
      <c r="F140" s="9"/>
      <c r="G140" s="9"/>
      <c r="I140" s="8"/>
      <c r="J140" s="9"/>
      <c r="K140" s="9"/>
    </row>
    <row r="141" spans="1:11" ht="19.5" hidden="1" outlineLevel="1" collapsed="1" thickBot="1" x14ac:dyDescent="0.35">
      <c r="A141" s="2"/>
      <c r="B141" s="6">
        <f>Январь!$G$5</f>
        <v>12</v>
      </c>
      <c r="C141" s="11">
        <f t="shared" si="0"/>
        <v>4.9987088587104748E+20</v>
      </c>
      <c r="E141" s="8"/>
      <c r="F141" s="9"/>
      <c r="G141" s="9"/>
      <c r="I141" s="8"/>
      <c r="J141" s="9"/>
      <c r="K141" s="9"/>
    </row>
    <row r="142" spans="1:11" ht="19.5" hidden="1" outlineLevel="2" thickBot="1" x14ac:dyDescent="0.35">
      <c r="A142" s="2"/>
      <c r="B142" s="6"/>
      <c r="C142" s="11">
        <f t="shared" si="0"/>
        <v>9.1940589969978714E+20</v>
      </c>
      <c r="E142" s="8"/>
      <c r="F142" s="9"/>
      <c r="G142" s="9"/>
      <c r="I142" s="8"/>
      <c r="J142" s="9"/>
      <c r="K142" s="9"/>
    </row>
    <row r="143" spans="1:11" ht="19.5" hidden="1" outlineLevel="2" thickBot="1" x14ac:dyDescent="0.35">
      <c r="A143" s="2"/>
      <c r="B143" s="6"/>
      <c r="C143" s="11">
        <f t="shared" ref="C143:C157" si="1">SUM(C140:C142)</f>
        <v>1.691051093983578E+21</v>
      </c>
      <c r="E143" s="8"/>
      <c r="F143" s="9"/>
      <c r="G143" s="9"/>
      <c r="I143" s="8"/>
      <c r="J143" s="9"/>
      <c r="K143" s="9"/>
    </row>
    <row r="144" spans="1:11" ht="19.5" hidden="1" outlineLevel="2" thickBot="1" x14ac:dyDescent="0.35">
      <c r="A144" s="2"/>
      <c r="B144" s="6"/>
      <c r="C144" s="11">
        <f t="shared" si="1"/>
        <v>3.1103278795544126E+21</v>
      </c>
      <c r="E144" s="8"/>
      <c r="F144" s="9"/>
      <c r="G144" s="9"/>
      <c r="I144" s="8"/>
      <c r="J144" s="9"/>
      <c r="K144" s="9"/>
    </row>
    <row r="145" spans="1:11" ht="19.5" collapsed="1" thickBot="1" x14ac:dyDescent="0.35">
      <c r="A145" s="2" t="s">
        <v>11</v>
      </c>
      <c r="B145" s="6">
        <f>SUM(B133:B141)</f>
        <v>36</v>
      </c>
      <c r="C145" s="6">
        <f t="shared" si="1"/>
        <v>5.7207848732377785E+21</v>
      </c>
      <c r="E145" s="8"/>
      <c r="F145" s="9"/>
      <c r="G145" s="9"/>
      <c r="I145" s="8"/>
      <c r="J145" s="9"/>
      <c r="K145" s="9"/>
    </row>
    <row r="146" spans="1:11" ht="19.5" hidden="1" outlineLevel="1" thickBot="1" x14ac:dyDescent="0.35">
      <c r="A146" s="2"/>
      <c r="B146" s="6">
        <f>Март!$G$6</f>
        <v>16</v>
      </c>
      <c r="C146" s="6">
        <f t="shared" si="1"/>
        <v>1.052216384677577E+22</v>
      </c>
      <c r="E146" s="8"/>
      <c r="F146" s="9"/>
      <c r="G146" s="9"/>
      <c r="I146" s="8"/>
      <c r="J146" s="9"/>
      <c r="K146" s="9"/>
    </row>
    <row r="147" spans="1:11" ht="19.5" hidden="1" outlineLevel="1" collapsed="1" thickBot="1" x14ac:dyDescent="0.35">
      <c r="A147" s="2"/>
      <c r="B147" s="6">
        <f>Февраль!$G$6</f>
        <v>16</v>
      </c>
      <c r="C147" s="6">
        <f t="shared" si="1"/>
        <v>1.9353276599567959E+22</v>
      </c>
      <c r="E147" s="8"/>
      <c r="F147" s="9"/>
      <c r="G147" s="9"/>
      <c r="I147" s="8"/>
      <c r="J147" s="9"/>
      <c r="K147" s="9"/>
    </row>
    <row r="148" spans="1:11" ht="19.5" hidden="1" outlineLevel="1" collapsed="1" thickBot="1" x14ac:dyDescent="0.35">
      <c r="A148" s="2"/>
      <c r="B148" s="6">
        <f>Январь!$G$6</f>
        <v>16</v>
      </c>
      <c r="C148" s="6">
        <f t="shared" si="1"/>
        <v>3.5596225319581509E+22</v>
      </c>
      <c r="E148" s="8"/>
      <c r="F148" s="9"/>
      <c r="G148" s="9"/>
      <c r="I148" s="8"/>
      <c r="J148" s="9"/>
      <c r="K148" s="9"/>
    </row>
    <row r="149" spans="1:11" ht="38.25" collapsed="1" thickBot="1" x14ac:dyDescent="0.35">
      <c r="A149" s="4" t="s">
        <v>12</v>
      </c>
      <c r="B149" s="6">
        <f>SUM(B146:B148)</f>
        <v>48</v>
      </c>
      <c r="C149" s="6">
        <f t="shared" si="1"/>
        <v>6.5471665765925238E+22</v>
      </c>
      <c r="E149" s="10"/>
      <c r="F149" s="9"/>
      <c r="G149" s="9"/>
      <c r="I149" s="10"/>
      <c r="J149" s="9"/>
      <c r="K149" s="9"/>
    </row>
    <row r="150" spans="1:11" ht="19.5" hidden="1" outlineLevel="1" thickBot="1" x14ac:dyDescent="0.35">
      <c r="A150" s="4"/>
      <c r="B150" s="6">
        <f>Март!$G$7</f>
        <v>10</v>
      </c>
      <c r="C150" s="6">
        <f t="shared" si="1"/>
        <v>1.204211676850747E+23</v>
      </c>
      <c r="E150" s="10"/>
      <c r="F150" s="9"/>
      <c r="G150" s="9"/>
      <c r="I150" s="10"/>
      <c r="J150" s="9"/>
      <c r="K150" s="9"/>
    </row>
    <row r="151" spans="1:11" ht="19.5" hidden="1" outlineLevel="1" collapsed="1" thickBot="1" x14ac:dyDescent="0.35">
      <c r="A151" s="4"/>
      <c r="B151" s="6">
        <f>Февраль!$G$7</f>
        <v>10</v>
      </c>
      <c r="C151" s="6">
        <f t="shared" si="1"/>
        <v>2.2148905877058144E+23</v>
      </c>
      <c r="E151" s="10"/>
      <c r="F151" s="9"/>
      <c r="G151" s="9"/>
      <c r="I151" s="10"/>
      <c r="J151" s="9"/>
      <c r="K151" s="9"/>
    </row>
    <row r="152" spans="1:11" ht="19.5" hidden="1" outlineLevel="1" collapsed="1" thickBot="1" x14ac:dyDescent="0.35">
      <c r="A152" s="4"/>
      <c r="B152" s="6">
        <f>Январь!$G$7</f>
        <v>10</v>
      </c>
      <c r="C152" s="6">
        <f t="shared" si="1"/>
        <v>4.0738189222158139E+23</v>
      </c>
      <c r="E152" s="10"/>
      <c r="F152" s="9"/>
      <c r="G152" s="9"/>
      <c r="I152" s="10"/>
      <c r="J152" s="9"/>
      <c r="K152" s="9"/>
    </row>
    <row r="153" spans="1:11" ht="19.5" collapsed="1" thickBot="1" x14ac:dyDescent="0.35">
      <c r="A153" s="2" t="s">
        <v>13</v>
      </c>
      <c r="B153" s="6">
        <f>SUM(B150:B152)</f>
        <v>30</v>
      </c>
      <c r="C153" s="6">
        <f t="shared" si="1"/>
        <v>7.4929211867723749E+23</v>
      </c>
      <c r="E153" s="8"/>
      <c r="F153" s="9"/>
      <c r="G153" s="9"/>
      <c r="I153" s="8"/>
      <c r="J153" s="9"/>
      <c r="K153" s="9"/>
    </row>
    <row r="154" spans="1:11" ht="19.5" hidden="1" outlineLevel="1" thickBot="1" x14ac:dyDescent="0.35">
      <c r="A154" s="2"/>
      <c r="B154" s="6">
        <f>Март!$G$8</f>
        <v>91</v>
      </c>
      <c r="C154" s="6">
        <f t="shared" si="1"/>
        <v>1.3781630696694003E+24</v>
      </c>
      <c r="E154" s="8"/>
      <c r="F154" s="9"/>
      <c r="G154" s="9"/>
      <c r="I154" s="8"/>
      <c r="J154" s="9"/>
      <c r="K154" s="9"/>
    </row>
    <row r="155" spans="1:11" ht="19.5" hidden="1" outlineLevel="1" collapsed="1" thickBot="1" x14ac:dyDescent="0.35">
      <c r="A155" s="2"/>
      <c r="B155" s="6">
        <f>Февраль!$G$8</f>
        <v>91</v>
      </c>
      <c r="C155" s="6">
        <f t="shared" si="1"/>
        <v>2.5348370805682191E+24</v>
      </c>
      <c r="E155" s="8"/>
      <c r="F155" s="9"/>
      <c r="G155" s="9"/>
      <c r="I155" s="8"/>
      <c r="J155" s="9"/>
      <c r="K155" s="9"/>
    </row>
    <row r="156" spans="1:11" ht="19.5" hidden="1" outlineLevel="1" collapsed="1" thickBot="1" x14ac:dyDescent="0.35">
      <c r="A156" s="2"/>
      <c r="B156" s="6">
        <f>Январь!$G$8</f>
        <v>91</v>
      </c>
      <c r="C156" s="6">
        <f t="shared" si="1"/>
        <v>4.662292268914857E+24</v>
      </c>
      <c r="E156" s="8"/>
      <c r="F156" s="9"/>
      <c r="G156" s="9"/>
      <c r="I156" s="8"/>
      <c r="J156" s="9"/>
      <c r="K156" s="9"/>
    </row>
    <row r="157" spans="1:11" ht="19.5" collapsed="1" thickBot="1" x14ac:dyDescent="0.35">
      <c r="A157" s="2" t="s">
        <v>14</v>
      </c>
      <c r="B157" s="6">
        <f>SUM(B154:B156)</f>
        <v>273</v>
      </c>
      <c r="C157" s="6">
        <f t="shared" si="1"/>
        <v>8.575292419152477E+24</v>
      </c>
      <c r="E157" s="8"/>
      <c r="F157" s="9"/>
      <c r="I157" s="8"/>
      <c r="J157" s="9"/>
      <c r="K157" s="9"/>
    </row>
    <row r="158" spans="1:11" ht="18.75" x14ac:dyDescent="0.25">
      <c r="C158" s="9"/>
    </row>
  </sheetData>
  <dataConsolidate link="1">
    <dataRefs count="3">
      <dataRef ref="H4:H8" sheet="Март"/>
      <dataRef ref="H4:H8" sheet="Февраль"/>
      <dataRef ref="H4:H8" sheet="Январь"/>
    </dataRefs>
  </dataConsolidate>
  <mergeCells count="3">
    <mergeCell ref="A1:C1"/>
    <mergeCell ref="E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Январь</vt:lpstr>
      <vt:lpstr>Февраль</vt:lpstr>
      <vt:lpstr>Март</vt:lpstr>
      <vt:lpstr>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Шильников</dc:creator>
  <cp:lastModifiedBy>Максим Шильников</cp:lastModifiedBy>
  <dcterms:created xsi:type="dcterms:W3CDTF">2015-06-05T18:19:34Z</dcterms:created>
  <dcterms:modified xsi:type="dcterms:W3CDTF">2025-11-16T13:26:39Z</dcterms:modified>
</cp:coreProperties>
</file>