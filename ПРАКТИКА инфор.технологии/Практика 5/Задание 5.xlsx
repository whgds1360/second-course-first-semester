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Second_year_of_college\ПРАКТИКА инфор.технологии\Практика 5\"/>
    </mc:Choice>
  </mc:AlternateContent>
  <xr:revisionPtr revIDLastSave="0" documentId="13_ncr:1_{3F39B969-CAE5-4A0D-8B3E-7A14CC6D8F0E}" xr6:coauthVersionLast="47" xr6:coauthVersionMax="47" xr10:uidLastSave="{00000000-0000-0000-0000-000000000000}"/>
  <bookViews>
    <workbookView xWindow="6510" yWindow="6285" windowWidth="21600" windowHeight="850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" l="1"/>
  <c r="E15" i="1" s="1"/>
  <c r="F6" i="1"/>
  <c r="G6" i="1" s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5" i="1"/>
  <c r="G5" i="1" s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7" i="1"/>
  <c r="C2" i="1"/>
  <c r="G16" i="1" l="1"/>
  <c r="G13" i="1"/>
  <c r="G14" i="1"/>
  <c r="G15" i="1"/>
  <c r="G24" i="1"/>
  <c r="G17" i="1"/>
  <c r="G22" i="1"/>
  <c r="G10" i="1"/>
  <c r="G21" i="1"/>
  <c r="G9" i="1"/>
  <c r="G20" i="1"/>
  <c r="G8" i="1"/>
  <c r="G19" i="1"/>
  <c r="G7" i="1"/>
  <c r="G18" i="1"/>
  <c r="G12" i="1"/>
  <c r="G23" i="1"/>
  <c r="G11" i="1"/>
</calcChain>
</file>

<file path=xl/sharedStrings.xml><?xml version="1.0" encoding="utf-8"?>
<sst xmlns="http://schemas.openxmlformats.org/spreadsheetml/2006/main" count="30" uniqueCount="11">
  <si>
    <t>Текущая дата</t>
  </si>
  <si>
    <t>Товар</t>
  </si>
  <si>
    <t>Поставщик</t>
  </si>
  <si>
    <t>Вес, т</t>
  </si>
  <si>
    <t>Затраты</t>
  </si>
  <si>
    <t>Дата отгрузки</t>
  </si>
  <si>
    <t>Выручка</t>
  </si>
  <si>
    <t>Прибыль</t>
  </si>
  <si>
    <t>Баунти</t>
  </si>
  <si>
    <t>Орион</t>
  </si>
  <si>
    <t>Ланта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</si>
</sst>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Segoe U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2" fontId="0" fillId="0" borderId="0" xfId="0" applyNumberFormat="1"/>
    <xf numFmtId="164" fontId="0" fillId="0" borderId="0" xfId="0" applyNumberFormat="1"/>
    <xf numFmtId="0" fontId="2" fillId="2" borderId="1" xfId="0" applyFont="1" applyFill="1" applyBorder="1"/>
    <xf numFmtId="14" fontId="0" fillId="3" borderId="0" xfId="0" applyNumberFormat="1" applyFill="1"/>
    <xf numFmtId="0" fontId="0" fillId="4" borderId="0" xfId="0" applyFill="1"/>
    <xf numFmtId="2" fontId="0" fillId="4" borderId="0" xfId="0" applyNumberFormat="1" applyFill="1"/>
    <xf numFmtId="164" fontId="0" fillId="4" borderId="0" xfId="1" applyNumberFormat="1" applyFont="1" applyFill="1"/>
    <xf numFmtId="14" fontId="0" fillId="4" borderId="0" xfId="0" applyNumberFormat="1" applyFill="1"/>
    <xf numFmtId="164" fontId="0" fillId="4" borderId="0" xfId="0" applyNumberFormat="1" applyFill="1"/>
    <xf numFmtId="2" fontId="0" fillId="5" borderId="0" xfId="0" applyNumberFormat="1" applyFill="1"/>
    <xf numFmtId="164" fontId="0" fillId="5" borderId="0" xfId="0" applyNumberFormat="1" applyFill="1"/>
  </cellXfs>
  <cellStyles count="2">
    <cellStyle name="Денежный" xfId="1" builtinId="4"/>
    <cellStyle name="Обычный" xfId="0" builtinId="0"/>
  </cellStyles>
  <dxfs count="10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2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$E$2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590550</xdr:colOff>
          <xdr:row>0</xdr:row>
          <xdr:rowOff>104774</xdr:rowOff>
        </xdr:from>
        <xdr:to>
          <xdr:col>11</xdr:col>
          <xdr:colOff>257175</xdr:colOff>
          <xdr:row>4</xdr:row>
          <xdr:rowOff>47624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Подсветка сроков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4"/>
  <sheetViews>
    <sheetView tabSelected="1" topLeftCell="A4" workbookViewId="0">
      <selection activeCell="F15" sqref="F15"/>
    </sheetView>
  </sheetViews>
  <sheetFormatPr defaultRowHeight="15" x14ac:dyDescent="0.25"/>
  <cols>
    <col min="1" max="1" width="7.28515625" bestFit="1" customWidth="1"/>
    <col min="2" max="2" width="13.28515625" bestFit="1" customWidth="1"/>
    <col min="3" max="3" width="10.140625" bestFit="1" customWidth="1"/>
    <col min="4" max="4" width="13.140625" bestFit="1" customWidth="1"/>
    <col min="5" max="5" width="13.7109375" bestFit="1" customWidth="1"/>
    <col min="6" max="6" width="12.140625" bestFit="1" customWidth="1"/>
    <col min="7" max="7" width="12.85546875" bestFit="1" customWidth="1"/>
  </cols>
  <sheetData>
    <row r="2" spans="1:7" x14ac:dyDescent="0.25">
      <c r="B2" t="s">
        <v>0</v>
      </c>
      <c r="C2" s="6">
        <f ca="1">TODAY()</f>
        <v>45978</v>
      </c>
      <c r="E2" t="b">
        <v>0</v>
      </c>
    </row>
    <row r="4" spans="1:7" ht="15.75" thickBot="1" x14ac:dyDescent="0.3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</row>
    <row r="5" spans="1:7" x14ac:dyDescent="0.25">
      <c r="A5" t="s">
        <v>8</v>
      </c>
      <c r="B5" t="s">
        <v>9</v>
      </c>
      <c r="C5" s="3">
        <v>51.7</v>
      </c>
      <c r="D5" s="2">
        <v>163625</v>
      </c>
      <c r="E5" s="1">
        <v>32947</v>
      </c>
      <c r="F5" s="4">
        <f ca="1">RANDBETWEEN(100000,1000000)</f>
        <v>126223</v>
      </c>
      <c r="G5" s="4">
        <f ca="1">F5-D5</f>
        <v>-37402</v>
      </c>
    </row>
    <row r="6" spans="1:7" x14ac:dyDescent="0.25">
      <c r="A6" t="s">
        <v>8</v>
      </c>
      <c r="B6" t="s">
        <v>10</v>
      </c>
      <c r="C6" s="3">
        <v>88.5</v>
      </c>
      <c r="D6" s="2">
        <v>366520</v>
      </c>
      <c r="E6" s="1">
        <v>38586</v>
      </c>
      <c r="F6" s="4">
        <f t="shared" ref="F6:F24" ca="1" si="0">RANDBETWEEN(100000,1000000)</f>
        <v>913305</v>
      </c>
      <c r="G6" s="4">
        <f t="shared" ref="G6:G24" ca="1" si="1">F6-D6</f>
        <v>546785</v>
      </c>
    </row>
    <row r="7" spans="1:7" x14ac:dyDescent="0.25">
      <c r="A7" t="s">
        <v>8</v>
      </c>
      <c r="B7" t="str">
        <f ca="1">RANDBETWEEN(1, 200)&amp;"Орион"</f>
        <v>11Орион</v>
      </c>
      <c r="C7" s="3">
        <f ca="1">RANDBETWEEN(1,100)</f>
        <v>84</v>
      </c>
      <c r="D7" s="2">
        <f ca="1">RANDBETWEEN(100000,1000000)</f>
        <v>289968</v>
      </c>
      <c r="E7" s="1">
        <v>40188</v>
      </c>
      <c r="F7" s="4">
        <f t="shared" ca="1" si="0"/>
        <v>319588</v>
      </c>
      <c r="G7" s="4">
        <f t="shared" ca="1" si="1"/>
        <v>29620</v>
      </c>
    </row>
    <row r="8" spans="1:7" x14ac:dyDescent="0.25">
      <c r="A8" t="s">
        <v>8</v>
      </c>
      <c r="B8" t="str">
        <f t="shared" ref="B8:B24" ca="1" si="2">RANDBETWEEN(1, 200)&amp;"Орион"</f>
        <v>114Орион</v>
      </c>
      <c r="C8" s="3">
        <f t="shared" ref="C8:C24" ca="1" si="3">RANDBETWEEN(1,100)</f>
        <v>59</v>
      </c>
      <c r="D8" s="2">
        <f t="shared" ref="D8:D24" ca="1" si="4">RANDBETWEEN(100000,1000000)</f>
        <v>316125</v>
      </c>
      <c r="E8" s="1">
        <v>42190</v>
      </c>
      <c r="F8" s="4">
        <f t="shared" ca="1" si="0"/>
        <v>288219</v>
      </c>
      <c r="G8" s="4">
        <f t="shared" ca="1" si="1"/>
        <v>-27906</v>
      </c>
    </row>
    <row r="9" spans="1:7" x14ac:dyDescent="0.25">
      <c r="A9" t="s">
        <v>8</v>
      </c>
      <c r="B9" t="str">
        <f t="shared" ca="1" si="2"/>
        <v>118Орион</v>
      </c>
      <c r="C9" s="3">
        <f t="shared" ca="1" si="3"/>
        <v>22</v>
      </c>
      <c r="D9" s="2">
        <f t="shared" ca="1" si="4"/>
        <v>743122</v>
      </c>
      <c r="E9" s="1">
        <v>43434</v>
      </c>
      <c r="F9" s="4">
        <f t="shared" ca="1" si="0"/>
        <v>436788</v>
      </c>
      <c r="G9" s="4">
        <f t="shared" ca="1" si="1"/>
        <v>-306334</v>
      </c>
    </row>
    <row r="10" spans="1:7" x14ac:dyDescent="0.25">
      <c r="A10" t="s">
        <v>8</v>
      </c>
      <c r="B10" t="str">
        <f t="shared" ca="1" si="2"/>
        <v>24Орион</v>
      </c>
      <c r="C10" s="3">
        <f t="shared" ca="1" si="3"/>
        <v>65</v>
      </c>
      <c r="D10" s="2">
        <f t="shared" ca="1" si="4"/>
        <v>445357</v>
      </c>
      <c r="E10" s="1">
        <v>44335</v>
      </c>
      <c r="F10" s="4">
        <f t="shared" ca="1" si="0"/>
        <v>534064</v>
      </c>
      <c r="G10" s="4">
        <f t="shared" ca="1" si="1"/>
        <v>88707</v>
      </c>
    </row>
    <row r="11" spans="1:7" x14ac:dyDescent="0.25">
      <c r="A11" t="s">
        <v>8</v>
      </c>
      <c r="B11" t="str">
        <f t="shared" ca="1" si="2"/>
        <v>116Орион</v>
      </c>
      <c r="C11" s="3">
        <f t="shared" ca="1" si="3"/>
        <v>63</v>
      </c>
      <c r="D11" s="2">
        <f t="shared" ca="1" si="4"/>
        <v>230340</v>
      </c>
      <c r="E11" s="1">
        <v>45202</v>
      </c>
      <c r="F11" s="4">
        <f t="shared" ca="1" si="0"/>
        <v>501309</v>
      </c>
      <c r="G11" s="4">
        <f t="shared" ca="1" si="1"/>
        <v>270969</v>
      </c>
    </row>
    <row r="12" spans="1:7" x14ac:dyDescent="0.25">
      <c r="A12" t="s">
        <v>8</v>
      </c>
      <c r="B12" t="str">
        <f t="shared" ca="1" si="2"/>
        <v>135Орион</v>
      </c>
      <c r="C12" s="3">
        <f t="shared" ca="1" si="3"/>
        <v>43</v>
      </c>
      <c r="D12" s="2">
        <f t="shared" ca="1" si="4"/>
        <v>632147</v>
      </c>
      <c r="E12" s="1">
        <v>45306</v>
      </c>
      <c r="F12" s="4">
        <f t="shared" ca="1" si="0"/>
        <v>209382</v>
      </c>
      <c r="G12" s="4">
        <f t="shared" ca="1" si="1"/>
        <v>-422765</v>
      </c>
    </row>
    <row r="13" spans="1:7" x14ac:dyDescent="0.25">
      <c r="A13" t="s">
        <v>8</v>
      </c>
      <c r="B13" t="str">
        <f t="shared" ca="1" si="2"/>
        <v>48Орион</v>
      </c>
      <c r="C13" s="3">
        <f t="shared" ca="1" si="3"/>
        <v>100</v>
      </c>
      <c r="D13" s="2">
        <f t="shared" ca="1" si="4"/>
        <v>176515</v>
      </c>
      <c r="E13" s="1">
        <v>45350</v>
      </c>
      <c r="F13" s="4">
        <f t="shared" ca="1" si="0"/>
        <v>762612</v>
      </c>
      <c r="G13" s="4">
        <f t="shared" ca="1" si="1"/>
        <v>586097</v>
      </c>
    </row>
    <row r="14" spans="1:7" x14ac:dyDescent="0.25">
      <c r="A14" t="s">
        <v>8</v>
      </c>
      <c r="B14" t="str">
        <f t="shared" ca="1" si="2"/>
        <v>16Орион</v>
      </c>
      <c r="C14" s="3">
        <f t="shared" ca="1" si="3"/>
        <v>50</v>
      </c>
      <c r="D14" s="2">
        <f t="shared" ca="1" si="4"/>
        <v>563184</v>
      </c>
      <c r="E14" s="1">
        <f ca="1">TODAY()</f>
        <v>45978</v>
      </c>
      <c r="F14" s="4">
        <f t="shared" ca="1" si="0"/>
        <v>558055</v>
      </c>
      <c r="G14" s="4">
        <f t="shared" ca="1" si="1"/>
        <v>-5129</v>
      </c>
    </row>
    <row r="15" spans="1:7" x14ac:dyDescent="0.25">
      <c r="A15" t="s">
        <v>8</v>
      </c>
      <c r="B15" t="str">
        <f t="shared" ca="1" si="2"/>
        <v>87Орион</v>
      </c>
      <c r="C15" s="12">
        <f t="shared" ca="1" si="3"/>
        <v>28</v>
      </c>
      <c r="D15" s="2">
        <f t="shared" ca="1" si="4"/>
        <v>773852</v>
      </c>
      <c r="E15" s="1">
        <f ca="1">E14+1</f>
        <v>45979</v>
      </c>
      <c r="F15" s="4">
        <f t="shared" ca="1" si="0"/>
        <v>833737</v>
      </c>
      <c r="G15" s="13">
        <f t="shared" ca="1" si="1"/>
        <v>59885</v>
      </c>
    </row>
    <row r="16" spans="1:7" x14ac:dyDescent="0.25">
      <c r="A16" t="s">
        <v>8</v>
      </c>
      <c r="B16" t="str">
        <f t="shared" ca="1" si="2"/>
        <v>92Орион</v>
      </c>
      <c r="C16" s="12">
        <f t="shared" ca="1" si="3"/>
        <v>10</v>
      </c>
      <c r="D16" s="2">
        <f t="shared" ca="1" si="4"/>
        <v>256405</v>
      </c>
      <c r="E16" s="1">
        <v>46508</v>
      </c>
      <c r="F16" s="4">
        <f t="shared" ca="1" si="0"/>
        <v>341670</v>
      </c>
      <c r="G16" s="13">
        <f t="shared" ca="1" si="1"/>
        <v>85265</v>
      </c>
    </row>
    <row r="17" spans="1:7" x14ac:dyDescent="0.25">
      <c r="A17" t="s">
        <v>8</v>
      </c>
      <c r="B17" t="str">
        <f t="shared" ca="1" si="2"/>
        <v>28Орион</v>
      </c>
      <c r="C17" s="12">
        <f t="shared" ca="1" si="3"/>
        <v>89</v>
      </c>
      <c r="D17" s="2">
        <f t="shared" ca="1" si="4"/>
        <v>783176</v>
      </c>
      <c r="E17" s="1">
        <v>47643</v>
      </c>
      <c r="F17" s="4">
        <f t="shared" ca="1" si="0"/>
        <v>150167</v>
      </c>
      <c r="G17" s="4">
        <f t="shared" ca="1" si="1"/>
        <v>-633009</v>
      </c>
    </row>
    <row r="18" spans="1:7" x14ac:dyDescent="0.25">
      <c r="A18" t="s">
        <v>8</v>
      </c>
      <c r="B18" t="str">
        <f t="shared" ca="1" si="2"/>
        <v>107Орион</v>
      </c>
      <c r="C18" s="12">
        <f t="shared" ca="1" si="3"/>
        <v>69</v>
      </c>
      <c r="D18" s="2">
        <f t="shared" ca="1" si="4"/>
        <v>192896</v>
      </c>
      <c r="E18" s="1">
        <v>52110</v>
      </c>
      <c r="F18" s="4">
        <f t="shared" ca="1" si="0"/>
        <v>699924</v>
      </c>
      <c r="G18" s="4">
        <f t="shared" ca="1" si="1"/>
        <v>507028</v>
      </c>
    </row>
    <row r="19" spans="1:7" x14ac:dyDescent="0.25">
      <c r="A19" t="s">
        <v>8</v>
      </c>
      <c r="B19" t="str">
        <f t="shared" ca="1" si="2"/>
        <v>11Орион</v>
      </c>
      <c r="C19" s="3">
        <f t="shared" ca="1" si="3"/>
        <v>59</v>
      </c>
      <c r="D19" s="2">
        <f t="shared" ca="1" si="4"/>
        <v>527345</v>
      </c>
      <c r="E19" s="1">
        <v>36557</v>
      </c>
      <c r="F19" s="4">
        <f t="shared" ca="1" si="0"/>
        <v>475736</v>
      </c>
      <c r="G19" s="4">
        <f t="shared" ca="1" si="1"/>
        <v>-51609</v>
      </c>
    </row>
    <row r="20" spans="1:7" x14ac:dyDescent="0.25">
      <c r="A20" t="s">
        <v>8</v>
      </c>
      <c r="B20" t="str">
        <f t="shared" ca="1" si="2"/>
        <v>50Орион</v>
      </c>
      <c r="C20" s="3">
        <f t="shared" ca="1" si="3"/>
        <v>46</v>
      </c>
      <c r="D20" s="2">
        <f t="shared" ca="1" si="4"/>
        <v>528666</v>
      </c>
      <c r="E20" s="1">
        <v>44116</v>
      </c>
      <c r="F20" s="4">
        <f t="shared" ca="1" si="0"/>
        <v>171185</v>
      </c>
      <c r="G20" s="4">
        <f t="shared" ca="1" si="1"/>
        <v>-357481</v>
      </c>
    </row>
    <row r="21" spans="1:7" x14ac:dyDescent="0.25">
      <c r="A21" t="s">
        <v>8</v>
      </c>
      <c r="B21" t="str">
        <f t="shared" ca="1" si="2"/>
        <v>12Орион</v>
      </c>
      <c r="C21" s="3">
        <f t="shared" ca="1" si="3"/>
        <v>77</v>
      </c>
      <c r="D21" s="2">
        <f t="shared" ca="1" si="4"/>
        <v>476427</v>
      </c>
      <c r="E21" s="1">
        <v>36934</v>
      </c>
      <c r="F21" s="4">
        <f t="shared" ca="1" si="0"/>
        <v>609093</v>
      </c>
      <c r="G21" s="4">
        <f t="shared" ca="1" si="1"/>
        <v>132666</v>
      </c>
    </row>
    <row r="22" spans="1:7" x14ac:dyDescent="0.25">
      <c r="A22" t="s">
        <v>8</v>
      </c>
      <c r="B22" t="str">
        <f t="shared" ca="1" si="2"/>
        <v>123Орион</v>
      </c>
      <c r="C22" s="3">
        <f t="shared" ca="1" si="3"/>
        <v>76</v>
      </c>
      <c r="D22" s="2">
        <f t="shared" ca="1" si="4"/>
        <v>391780</v>
      </c>
      <c r="E22" s="1">
        <v>40852</v>
      </c>
      <c r="F22" s="4">
        <f t="shared" ca="1" si="0"/>
        <v>886116</v>
      </c>
      <c r="G22" s="4">
        <f t="shared" ca="1" si="1"/>
        <v>494336</v>
      </c>
    </row>
    <row r="23" spans="1:7" x14ac:dyDescent="0.25">
      <c r="A23" s="7" t="s">
        <v>8</v>
      </c>
      <c r="B23" s="7" t="str">
        <f t="shared" ca="1" si="2"/>
        <v>196Орион</v>
      </c>
      <c r="C23" s="8">
        <f t="shared" ca="1" si="3"/>
        <v>84</v>
      </c>
      <c r="D23" s="9">
        <f t="shared" ca="1" si="4"/>
        <v>556227</v>
      </c>
      <c r="E23" s="10">
        <v>39542</v>
      </c>
      <c r="F23" s="11">
        <f t="shared" ca="1" si="0"/>
        <v>720061</v>
      </c>
      <c r="G23" s="11">
        <f t="shared" ca="1" si="1"/>
        <v>163834</v>
      </c>
    </row>
    <row r="24" spans="1:7" x14ac:dyDescent="0.25">
      <c r="A24" t="s">
        <v>8</v>
      </c>
      <c r="B24" t="str">
        <f t="shared" ca="1" si="2"/>
        <v>44Орион</v>
      </c>
      <c r="C24" s="3">
        <f t="shared" ca="1" si="3"/>
        <v>74</v>
      </c>
      <c r="D24" s="2">
        <f t="shared" ca="1" si="4"/>
        <v>779283</v>
      </c>
      <c r="E24" s="1">
        <v>38477</v>
      </c>
      <c r="F24" s="4">
        <f t="shared" ca="1" si="0"/>
        <v>795074</v>
      </c>
      <c r="G24" s="4">
        <f t="shared" ca="1" si="1"/>
        <v>15791</v>
      </c>
    </row>
  </sheetData>
  <conditionalFormatting sqref="A5:G24">
    <cfRule type="expression" priority="12">
      <formula>$E5&lt;$C$2</formula>
    </cfRule>
    <cfRule type="expression" dxfId="9" priority="11">
      <formula>$E5&lt;$C$2</formula>
    </cfRule>
    <cfRule type="expression" dxfId="8" priority="10">
      <formula>$E5=TODAY()</formula>
    </cfRule>
    <cfRule type="expression" dxfId="7" priority="9">
      <formula>$E1048562&gt;$C$2</formula>
    </cfRule>
    <cfRule type="expression" dxfId="6" priority="8">
      <formula>$E1048562&gt;$C$2</formula>
    </cfRule>
    <cfRule type="expression" dxfId="5" priority="1" stopIfTrue="1">
      <formula>$E$2&lt;&gt;TRUE</formula>
    </cfRule>
  </conditionalFormatting>
  <conditionalFormatting sqref="A23:G23">
    <cfRule type="expression" dxfId="4" priority="7">
      <formula>$E5&lt;TODAY()</formula>
    </cfRule>
  </conditionalFormatting>
  <conditionalFormatting sqref="A15:G18">
    <cfRule type="expression" dxfId="3" priority="6">
      <formula>$E2&gt;TODAY()</formula>
    </cfRule>
    <cfRule type="cellIs" dxfId="2" priority="3" operator="greaterThan">
      <formula>TODAY()</formula>
    </cfRule>
    <cfRule type="cellIs" dxfId="1" priority="2" operator="greaterThan">
      <formula>TODAY()</formula>
    </cfRule>
  </conditionalFormatting>
  <conditionalFormatting sqref="A18:G18">
    <cfRule type="expression" dxfId="0" priority="5">
      <formula>$E5&gt;TODAY()</formula>
    </cfRule>
    <cfRule type="expression" priority="4">
      <formula>$E5&gt;=TODAY()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7</xdr:col>
                    <xdr:colOff>590550</xdr:colOff>
                    <xdr:row>0</xdr:row>
                    <xdr:rowOff>104775</xdr:rowOff>
                  </from>
                  <to>
                    <xdr:col>11</xdr:col>
                    <xdr:colOff>257175</xdr:colOff>
                    <xdr:row>4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Шильников</dc:creator>
  <cp:lastModifiedBy>Максим Шильников</cp:lastModifiedBy>
  <dcterms:created xsi:type="dcterms:W3CDTF">2015-06-05T18:19:34Z</dcterms:created>
  <dcterms:modified xsi:type="dcterms:W3CDTF">2025-11-16T22:09:27Z</dcterms:modified>
</cp:coreProperties>
</file>