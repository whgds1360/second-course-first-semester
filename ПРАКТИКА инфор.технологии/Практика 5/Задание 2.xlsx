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econd_year_of_college\ПРАКТИКА инфор.технологии\Практика 5\"/>
    </mc:Choice>
  </mc:AlternateContent>
  <xr:revisionPtr revIDLastSave="0" documentId="13_ncr:1_{FEA74CD9-97A1-4653-BC29-FB070BEDD907}" xr6:coauthVersionLast="47" xr6:coauthVersionMax="47" xr10:uidLastSave="{00000000-0000-0000-0000-000000000000}"/>
  <bookViews>
    <workbookView xWindow="5655" yWindow="2655" windowWidth="21600" windowHeight="12690" activeTab="1" xr2:uid="{00000000-000D-0000-FFFF-FFFF00000000}"/>
  </bookViews>
  <sheets>
    <sheet name="Основной" sheetId="1" r:id="rId1"/>
    <sheet name="2.5" sheetId="6" r:id="rId2"/>
    <sheet name="2.4" sheetId="5" r:id="rId3"/>
    <sheet name="2.1" sheetId="2" r:id="rId4"/>
    <sheet name="2.2" sheetId="3" r:id="rId5"/>
    <sheet name="2.3" sheetId="4" r:id="rId6"/>
  </sheets>
  <definedNames>
    <definedName name="_xlnm._FilterDatabase" localSheetId="3" hidden="1">'2.1'!$A$1:$K$17</definedName>
    <definedName name="_xlnm._FilterDatabase" localSheetId="4" hidden="1">'2.2'!$A$1:$K$17</definedName>
    <definedName name="_xlnm._FilterDatabase" localSheetId="5" hidden="1">'2.3'!$A$1:$K$17</definedName>
    <definedName name="_xlnm._FilterDatabase" localSheetId="2" hidden="1">'2.4'!$A$1:$K$17</definedName>
    <definedName name="_xlnm._FilterDatabase" localSheetId="1" hidden="1">'2.5'!$A$1:$K$17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6" l="1"/>
  <c r="C21" i="6"/>
  <c r="B21" i="6"/>
  <c r="A21" i="6"/>
  <c r="K52" i="6"/>
  <c r="J52" i="6"/>
  <c r="I52" i="6"/>
  <c r="K51" i="6"/>
  <c r="J51" i="6"/>
  <c r="I51" i="6"/>
  <c r="K50" i="6"/>
  <c r="J50" i="6"/>
  <c r="I50" i="6"/>
  <c r="K49" i="6"/>
  <c r="J49" i="6"/>
  <c r="I49" i="6"/>
  <c r="K48" i="6"/>
  <c r="J48" i="6"/>
  <c r="I48" i="6"/>
  <c r="K47" i="6"/>
  <c r="J47" i="6"/>
  <c r="I47" i="6"/>
  <c r="K46" i="6"/>
  <c r="J46" i="6"/>
  <c r="I46" i="6"/>
  <c r="K45" i="6"/>
  <c r="J45" i="6"/>
  <c r="I45" i="6"/>
  <c r="K44" i="6"/>
  <c r="J44" i="6"/>
  <c r="I44" i="6"/>
  <c r="K43" i="6"/>
  <c r="J43" i="6"/>
  <c r="I43" i="6"/>
  <c r="K42" i="6"/>
  <c r="J42" i="6"/>
  <c r="I42" i="6"/>
  <c r="K41" i="6"/>
  <c r="J41" i="6"/>
  <c r="I41" i="6"/>
  <c r="K40" i="6"/>
  <c r="J40" i="6"/>
  <c r="I40" i="6"/>
  <c r="K39" i="6"/>
  <c r="J39" i="6"/>
  <c r="I39" i="6"/>
  <c r="K38" i="6"/>
  <c r="J38" i="6"/>
  <c r="I38" i="6"/>
  <c r="K37" i="6"/>
  <c r="J37" i="6"/>
  <c r="I37" i="6"/>
  <c r="K17" i="6"/>
  <c r="J17" i="6"/>
  <c r="I17" i="6"/>
  <c r="K16" i="6"/>
  <c r="J16" i="6"/>
  <c r="I16" i="6"/>
  <c r="K15" i="6"/>
  <c r="J15" i="6"/>
  <c r="I15" i="6"/>
  <c r="K14" i="6"/>
  <c r="J14" i="6"/>
  <c r="I14" i="6"/>
  <c r="K13" i="6"/>
  <c r="J13" i="6"/>
  <c r="I13" i="6"/>
  <c r="K12" i="6"/>
  <c r="J12" i="6"/>
  <c r="I12" i="6"/>
  <c r="K11" i="6"/>
  <c r="J11" i="6"/>
  <c r="I11" i="6"/>
  <c r="K10" i="6"/>
  <c r="J10" i="6"/>
  <c r="I10" i="6"/>
  <c r="K9" i="6"/>
  <c r="J9" i="6"/>
  <c r="I9" i="6"/>
  <c r="K8" i="6"/>
  <c r="J8" i="6"/>
  <c r="I8" i="6"/>
  <c r="K7" i="6"/>
  <c r="J7" i="6"/>
  <c r="I7" i="6"/>
  <c r="K6" i="6"/>
  <c r="J6" i="6"/>
  <c r="I6" i="6"/>
  <c r="K5" i="6"/>
  <c r="J5" i="6"/>
  <c r="I5" i="6"/>
  <c r="K4" i="6"/>
  <c r="J4" i="6"/>
  <c r="I4" i="6"/>
  <c r="K3" i="6"/>
  <c r="J3" i="6"/>
  <c r="I3" i="6"/>
  <c r="K2" i="6"/>
  <c r="J2" i="6"/>
  <c r="I2" i="6"/>
  <c r="K17" i="5"/>
  <c r="J17" i="5"/>
  <c r="I17" i="5"/>
  <c r="K16" i="5"/>
  <c r="J16" i="5"/>
  <c r="I16" i="5"/>
  <c r="K15" i="5"/>
  <c r="J15" i="5"/>
  <c r="I15" i="5"/>
  <c r="K14" i="5"/>
  <c r="J14" i="5"/>
  <c r="I14" i="5"/>
  <c r="K13" i="5"/>
  <c r="J13" i="5"/>
  <c r="I13" i="5"/>
  <c r="K12" i="5"/>
  <c r="J12" i="5"/>
  <c r="I12" i="5"/>
  <c r="K11" i="5"/>
  <c r="J11" i="5"/>
  <c r="I11" i="5"/>
  <c r="K10" i="5"/>
  <c r="J10" i="5"/>
  <c r="I10" i="5"/>
  <c r="K9" i="5"/>
  <c r="J9" i="5"/>
  <c r="I9" i="5"/>
  <c r="K8" i="5"/>
  <c r="J8" i="5"/>
  <c r="I8" i="5"/>
  <c r="K7" i="5"/>
  <c r="J7" i="5"/>
  <c r="I7" i="5"/>
  <c r="K6" i="5"/>
  <c r="J6" i="5"/>
  <c r="I6" i="5"/>
  <c r="K5" i="5"/>
  <c r="J5" i="5"/>
  <c r="I5" i="5"/>
  <c r="K4" i="5"/>
  <c r="J4" i="5"/>
  <c r="I4" i="5"/>
  <c r="K3" i="5"/>
  <c r="J3" i="5"/>
  <c r="I3" i="5"/>
  <c r="K2" i="5"/>
  <c r="J2" i="5"/>
  <c r="I2" i="5"/>
  <c r="K17" i="4"/>
  <c r="J17" i="4"/>
  <c r="I17" i="4"/>
  <c r="K16" i="4"/>
  <c r="J16" i="4"/>
  <c r="I16" i="4"/>
  <c r="K15" i="4"/>
  <c r="J15" i="4"/>
  <c r="I15" i="4"/>
  <c r="K14" i="4"/>
  <c r="J14" i="4"/>
  <c r="I14" i="4"/>
  <c r="K13" i="4"/>
  <c r="J13" i="4"/>
  <c r="I13" i="4"/>
  <c r="K12" i="4"/>
  <c r="J12" i="4"/>
  <c r="I12" i="4"/>
  <c r="K11" i="4"/>
  <c r="J11" i="4"/>
  <c r="I11" i="4"/>
  <c r="K10" i="4"/>
  <c r="J10" i="4"/>
  <c r="I10" i="4"/>
  <c r="K9" i="4"/>
  <c r="J9" i="4"/>
  <c r="I9" i="4"/>
  <c r="K8" i="4"/>
  <c r="J8" i="4"/>
  <c r="I8" i="4"/>
  <c r="K7" i="4"/>
  <c r="J7" i="4"/>
  <c r="I7" i="4"/>
  <c r="K6" i="4"/>
  <c r="J6" i="4"/>
  <c r="I6" i="4"/>
  <c r="K5" i="4"/>
  <c r="J5" i="4"/>
  <c r="I5" i="4"/>
  <c r="K4" i="4"/>
  <c r="J4" i="4"/>
  <c r="I4" i="4"/>
  <c r="K3" i="4"/>
  <c r="J3" i="4"/>
  <c r="I3" i="4"/>
  <c r="K2" i="4"/>
  <c r="J2" i="4"/>
  <c r="I2" i="4"/>
  <c r="J8" i="3"/>
  <c r="K10" i="3"/>
  <c r="J10" i="3"/>
  <c r="I10" i="3"/>
  <c r="K15" i="3"/>
  <c r="J15" i="3"/>
  <c r="I15" i="3"/>
  <c r="K17" i="3"/>
  <c r="J17" i="3"/>
  <c r="I17" i="3"/>
  <c r="K5" i="3"/>
  <c r="J5" i="3"/>
  <c r="I5" i="3"/>
  <c r="K7" i="3"/>
  <c r="J7" i="3"/>
  <c r="I7" i="3"/>
  <c r="K3" i="3"/>
  <c r="J3" i="3"/>
  <c r="I3" i="3"/>
  <c r="K12" i="3"/>
  <c r="J12" i="3"/>
  <c r="I12" i="3"/>
  <c r="K9" i="3"/>
  <c r="J9" i="3"/>
  <c r="I9" i="3"/>
  <c r="K14" i="3"/>
  <c r="J14" i="3"/>
  <c r="I14" i="3"/>
  <c r="K16" i="3"/>
  <c r="J16" i="3"/>
  <c r="I16" i="3"/>
  <c r="K4" i="3"/>
  <c r="J4" i="3"/>
  <c r="I4" i="3"/>
  <c r="K6" i="3"/>
  <c r="J6" i="3"/>
  <c r="I6" i="3"/>
  <c r="K2" i="3"/>
  <c r="J2" i="3"/>
  <c r="I2" i="3"/>
  <c r="K11" i="3"/>
  <c r="J11" i="3"/>
  <c r="I11" i="3"/>
  <c r="K8" i="3"/>
  <c r="I8" i="3"/>
  <c r="K13" i="3"/>
  <c r="J13" i="3"/>
  <c r="I13" i="3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K3" i="2"/>
  <c r="J3" i="2"/>
  <c r="I3" i="2"/>
  <c r="K2" i="2"/>
  <c r="J2" i="2"/>
  <c r="I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3" i="1"/>
  <c r="J3" i="1"/>
  <c r="I4" i="1"/>
  <c r="J4" i="1"/>
  <c r="I5" i="1"/>
  <c r="J5" i="1"/>
  <c r="I6" i="1"/>
  <c r="J6" i="1"/>
  <c r="I7" i="1"/>
  <c r="J7" i="1"/>
  <c r="I8" i="1"/>
  <c r="J8" i="1"/>
  <c r="J2" i="1"/>
  <c r="I2" i="1"/>
</calcChain>
</file>

<file path=xl/sharedStrings.xml><?xml version="1.0" encoding="utf-8"?>
<sst xmlns="http://schemas.openxmlformats.org/spreadsheetml/2006/main" count="417" uniqueCount="34">
  <si>
    <t>№</t>
  </si>
  <si>
    <t>Отдел</t>
  </si>
  <si>
    <t>Кондитерский</t>
  </si>
  <si>
    <t>Молочный</t>
  </si>
  <si>
    <t>Мясной</t>
  </si>
  <si>
    <t>Вино - водочный</t>
  </si>
  <si>
    <t>Бакалея</t>
  </si>
  <si>
    <t>Зефир в шоколода</t>
  </si>
  <si>
    <t>Молоко</t>
  </si>
  <si>
    <t>Колбаса докторская</t>
  </si>
  <si>
    <t>Сосиски</t>
  </si>
  <si>
    <t>Пепси-кола</t>
  </si>
  <si>
    <t>Пряники шоколадные</t>
  </si>
  <si>
    <t>Булочка венская</t>
  </si>
  <si>
    <t>Наименование товара</t>
  </si>
  <si>
    <t>Единицы измерения</t>
  </si>
  <si>
    <t>Цена Прихода</t>
  </si>
  <si>
    <t>Количество прихода</t>
  </si>
  <si>
    <t>Цена расхода</t>
  </si>
  <si>
    <t>Количетсво расхода</t>
  </si>
  <si>
    <t>Количество остатка</t>
  </si>
  <si>
    <t>Доход</t>
  </si>
  <si>
    <t>упак.</t>
  </si>
  <si>
    <t>л</t>
  </si>
  <si>
    <t>кг.</t>
  </si>
  <si>
    <t>бут. 1л.</t>
  </si>
  <si>
    <t>1 кг.</t>
  </si>
  <si>
    <t>шт.</t>
  </si>
  <si>
    <t>2 кг.</t>
  </si>
  <si>
    <t>Дата поступления</t>
  </si>
  <si>
    <t>К</t>
  </si>
  <si>
    <t>М</t>
  </si>
  <si>
    <t>В</t>
  </si>
  <si>
    <t>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</si>
</sst>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4"/>
      <name val="Arial Black"/>
      <family val="2"/>
      <charset val="204"/>
    </font>
    <font>
      <b/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4" fontId="2" fillId="0" borderId="1" xfId="0" applyNumberFormat="1" applyFont="1" applyBorder="1" applyAlignment="1">
      <alignment horizontal="right" vertical="center" wrapText="1"/>
    </xf>
    <xf numFmtId="44" fontId="2" fillId="0" borderId="1" xfId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44" fontId="2" fillId="0" borderId="0" xfId="0" applyNumberFormat="1" applyFont="1" applyBorder="1" applyAlignment="1">
      <alignment horizontal="right" vertical="center" wrapText="1"/>
    </xf>
    <xf numFmtId="44" fontId="2" fillId="0" borderId="0" xfId="1" applyFont="1" applyBorder="1" applyAlignment="1">
      <alignment horizontal="center" vertical="center" wrapText="1"/>
    </xf>
    <xf numFmtId="44" fontId="2" fillId="0" borderId="0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selection activeCell="A19" sqref="A19"/>
    </sheetView>
  </sheetViews>
  <sheetFormatPr defaultRowHeight="15" x14ac:dyDescent="0.25"/>
  <cols>
    <col min="1" max="1" width="11.7109375" customWidth="1"/>
    <col min="2" max="2" width="21.7109375" bestFit="1" customWidth="1"/>
    <col min="3" max="3" width="28.5703125" customWidth="1"/>
    <col min="4" max="4" width="15.140625" customWidth="1"/>
    <col min="5" max="5" width="11.7109375" customWidth="1"/>
    <col min="6" max="6" width="17" customWidth="1"/>
    <col min="7" max="7" width="18.28515625" customWidth="1"/>
    <col min="8" max="9" width="16.85546875" customWidth="1"/>
    <col min="10" max="10" width="10.5703125" customWidth="1"/>
    <col min="11" max="11" width="23.28515625" customWidth="1"/>
  </cols>
  <sheetData>
    <row r="1" spans="1:11" ht="57" thickBot="1" x14ac:dyDescent="0.3">
      <c r="A1" s="6" t="s">
        <v>0</v>
      </c>
      <c r="B1" s="6" t="s">
        <v>1</v>
      </c>
      <c r="C1" s="6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29</v>
      </c>
    </row>
    <row r="2" spans="1:11" ht="19.5" thickBot="1" x14ac:dyDescent="0.35">
      <c r="A2" s="1">
        <v>1</v>
      </c>
      <c r="B2" s="2" t="s">
        <v>2</v>
      </c>
      <c r="C2" s="2" t="s">
        <v>7</v>
      </c>
      <c r="D2" s="3" t="s">
        <v>22</v>
      </c>
      <c r="E2" s="4">
        <v>102</v>
      </c>
      <c r="F2" s="14">
        <v>15</v>
      </c>
      <c r="G2" s="5">
        <v>114.99</v>
      </c>
      <c r="H2" s="3">
        <v>15</v>
      </c>
      <c r="I2" s="14">
        <f>F2-H2</f>
        <v>0</v>
      </c>
      <c r="J2" s="8">
        <f>G2-E2</f>
        <v>12.989999999999995</v>
      </c>
      <c r="K2" s="15">
        <f ca="1">DATE(2022,RANDBETWEEN(1,12),RANDBETWEEN(1,31))</f>
        <v>44650</v>
      </c>
    </row>
    <row r="3" spans="1:11" ht="19.5" thickBot="1" x14ac:dyDescent="0.35">
      <c r="A3" s="1">
        <v>2</v>
      </c>
      <c r="B3" s="2" t="s">
        <v>3</v>
      </c>
      <c r="C3" s="2" t="s">
        <v>8</v>
      </c>
      <c r="D3" s="3" t="s">
        <v>23</v>
      </c>
      <c r="E3" s="4">
        <v>80</v>
      </c>
      <c r="F3" s="14">
        <v>32</v>
      </c>
      <c r="G3" s="5">
        <v>91</v>
      </c>
      <c r="H3" s="3">
        <v>30</v>
      </c>
      <c r="I3" s="14">
        <f t="shared" ref="I3:I9" si="0">F3-H3</f>
        <v>2</v>
      </c>
      <c r="J3" s="8">
        <f t="shared" ref="J3:J9" si="1">G3-E3</f>
        <v>11</v>
      </c>
      <c r="K3" s="15">
        <f t="shared" ref="K3:K17" ca="1" si="2">DATE(2022,RANDBETWEEN(1,12),RANDBETWEEN(1,31))</f>
        <v>44756</v>
      </c>
    </row>
    <row r="4" spans="1:11" ht="19.5" thickBot="1" x14ac:dyDescent="0.35">
      <c r="A4" s="1">
        <v>3</v>
      </c>
      <c r="B4" s="2" t="s">
        <v>4</v>
      </c>
      <c r="C4" s="2" t="s">
        <v>9</v>
      </c>
      <c r="D4" s="3" t="s">
        <v>24</v>
      </c>
      <c r="E4" s="4">
        <v>365</v>
      </c>
      <c r="F4" s="14">
        <v>40</v>
      </c>
      <c r="G4" s="5">
        <v>451.2</v>
      </c>
      <c r="H4" s="3">
        <v>36</v>
      </c>
      <c r="I4" s="14">
        <f t="shared" si="0"/>
        <v>4</v>
      </c>
      <c r="J4" s="8">
        <f t="shared" si="1"/>
        <v>86.199999999999989</v>
      </c>
      <c r="K4" s="15">
        <f t="shared" ca="1" si="2"/>
        <v>44569</v>
      </c>
    </row>
    <row r="5" spans="1:11" ht="19.5" thickBot="1" x14ac:dyDescent="0.35">
      <c r="A5" s="1">
        <v>4</v>
      </c>
      <c r="B5" s="2" t="s">
        <v>4</v>
      </c>
      <c r="C5" s="2" t="s">
        <v>10</v>
      </c>
      <c r="D5" s="3" t="s">
        <v>22</v>
      </c>
      <c r="E5" s="4">
        <v>199</v>
      </c>
      <c r="F5" s="14">
        <v>12</v>
      </c>
      <c r="G5" s="5">
        <v>245.5</v>
      </c>
      <c r="H5" s="3">
        <v>12</v>
      </c>
      <c r="I5" s="14">
        <f t="shared" si="0"/>
        <v>0</v>
      </c>
      <c r="J5" s="8">
        <f t="shared" si="1"/>
        <v>46.5</v>
      </c>
      <c r="K5" s="15">
        <f t="shared" ca="1" si="2"/>
        <v>44587</v>
      </c>
    </row>
    <row r="6" spans="1:11" ht="19.5" thickBot="1" x14ac:dyDescent="0.35">
      <c r="A6" s="1">
        <v>5</v>
      </c>
      <c r="B6" s="2" t="s">
        <v>5</v>
      </c>
      <c r="C6" s="2" t="s">
        <v>11</v>
      </c>
      <c r="D6" s="3" t="s">
        <v>25</v>
      </c>
      <c r="E6" s="4">
        <v>69</v>
      </c>
      <c r="F6" s="14">
        <v>32</v>
      </c>
      <c r="G6" s="5">
        <v>89.9</v>
      </c>
      <c r="H6" s="3">
        <v>11</v>
      </c>
      <c r="I6" s="14">
        <f t="shared" si="0"/>
        <v>21</v>
      </c>
      <c r="J6" s="8">
        <f t="shared" si="1"/>
        <v>20.900000000000006</v>
      </c>
      <c r="K6" s="15">
        <f t="shared" ca="1" si="2"/>
        <v>44818</v>
      </c>
    </row>
    <row r="7" spans="1:11" ht="19.5" thickBot="1" x14ac:dyDescent="0.35">
      <c r="A7" s="1">
        <v>6</v>
      </c>
      <c r="B7" s="2" t="s">
        <v>2</v>
      </c>
      <c r="C7" s="2" t="s">
        <v>12</v>
      </c>
      <c r="D7" s="3" t="s">
        <v>26</v>
      </c>
      <c r="E7" s="4">
        <v>125</v>
      </c>
      <c r="F7" s="14">
        <v>24</v>
      </c>
      <c r="G7" s="5">
        <v>155.9</v>
      </c>
      <c r="H7" s="3">
        <v>20</v>
      </c>
      <c r="I7" s="14">
        <f t="shared" si="0"/>
        <v>4</v>
      </c>
      <c r="J7" s="8">
        <f t="shared" si="1"/>
        <v>30.900000000000006</v>
      </c>
      <c r="K7" s="15">
        <f t="shared" ca="1" si="2"/>
        <v>44818</v>
      </c>
    </row>
    <row r="8" spans="1:11" ht="19.5" thickBot="1" x14ac:dyDescent="0.35">
      <c r="A8" s="1">
        <v>7</v>
      </c>
      <c r="B8" s="2" t="s">
        <v>6</v>
      </c>
      <c r="C8" s="2" t="s">
        <v>13</v>
      </c>
      <c r="D8" s="3" t="s">
        <v>27</v>
      </c>
      <c r="E8" s="4">
        <v>65</v>
      </c>
      <c r="F8" s="14">
        <v>37</v>
      </c>
      <c r="G8" s="5">
        <v>77.989999999999995</v>
      </c>
      <c r="H8" s="3">
        <v>34</v>
      </c>
      <c r="I8" s="14">
        <f t="shared" si="0"/>
        <v>3</v>
      </c>
      <c r="J8" s="8">
        <f t="shared" si="1"/>
        <v>12.989999999999995</v>
      </c>
      <c r="K8" s="15">
        <f t="shared" ca="1" si="2"/>
        <v>44819</v>
      </c>
    </row>
    <row r="9" spans="1:11" ht="19.5" thickBot="1" x14ac:dyDescent="0.35">
      <c r="A9" s="1">
        <v>8</v>
      </c>
      <c r="B9" s="2" t="s">
        <v>2</v>
      </c>
      <c r="C9" s="2" t="s">
        <v>7</v>
      </c>
      <c r="D9" s="3" t="s">
        <v>22</v>
      </c>
      <c r="E9" s="4">
        <v>98.285714285714306</v>
      </c>
      <c r="F9" s="14">
        <v>33.428571428571402</v>
      </c>
      <c r="G9" s="5">
        <v>126.282857142857</v>
      </c>
      <c r="H9" s="14">
        <v>24.285714285714299</v>
      </c>
      <c r="I9" s="14">
        <f t="shared" si="0"/>
        <v>9.1428571428571033</v>
      </c>
      <c r="J9" s="8">
        <f t="shared" si="1"/>
        <v>27.997142857142691</v>
      </c>
      <c r="K9" s="15">
        <f t="shared" ca="1" si="2"/>
        <v>44651</v>
      </c>
    </row>
    <row r="10" spans="1:11" ht="19.5" thickBot="1" x14ac:dyDescent="0.35">
      <c r="A10" s="1">
        <v>9</v>
      </c>
      <c r="B10" s="2" t="s">
        <v>3</v>
      </c>
      <c r="C10" s="2" t="s">
        <v>8</v>
      </c>
      <c r="D10" s="3" t="s">
        <v>23</v>
      </c>
      <c r="E10" s="4">
        <v>86.964285714285694</v>
      </c>
      <c r="F10" s="14">
        <v>34.928571428571402</v>
      </c>
      <c r="G10" s="5">
        <v>114.05071428571399</v>
      </c>
      <c r="H10" s="14">
        <v>24.714285714285701</v>
      </c>
      <c r="I10" s="14">
        <f t="shared" ref="I10:I22" si="3">F10-H10</f>
        <v>10.214285714285701</v>
      </c>
      <c r="J10" s="8">
        <f t="shared" ref="J10:J22" si="4">G10-E10</f>
        <v>27.0864285714283</v>
      </c>
      <c r="K10" s="15">
        <f t="shared" ca="1" si="2"/>
        <v>44623</v>
      </c>
    </row>
    <row r="11" spans="1:11" ht="19.5" thickBot="1" x14ac:dyDescent="0.35">
      <c r="A11" s="1">
        <v>10</v>
      </c>
      <c r="B11" s="2" t="s">
        <v>4</v>
      </c>
      <c r="C11" s="2" t="s">
        <v>9</v>
      </c>
      <c r="D11" s="3" t="s">
        <v>24</v>
      </c>
      <c r="E11" s="4">
        <v>75.642857142857295</v>
      </c>
      <c r="F11" s="14">
        <v>36.428571428571402</v>
      </c>
      <c r="G11" s="5">
        <v>101.818571428571</v>
      </c>
      <c r="H11" s="14">
        <v>25.1428571428571</v>
      </c>
      <c r="I11" s="14">
        <f t="shared" si="3"/>
        <v>11.285714285714302</v>
      </c>
      <c r="J11" s="8">
        <f t="shared" si="4"/>
        <v>26.17571428571371</v>
      </c>
      <c r="K11" s="15">
        <f t="shared" ca="1" si="2"/>
        <v>44621</v>
      </c>
    </row>
    <row r="12" spans="1:11" ht="19.5" thickBot="1" x14ac:dyDescent="0.35">
      <c r="A12" s="1">
        <v>11</v>
      </c>
      <c r="B12" s="2" t="s">
        <v>4</v>
      </c>
      <c r="C12" s="2" t="s">
        <v>10</v>
      </c>
      <c r="D12" s="3" t="s">
        <v>22</v>
      </c>
      <c r="E12" s="4">
        <v>64.321428571428299</v>
      </c>
      <c r="F12" s="14">
        <v>37.928571428571402</v>
      </c>
      <c r="G12" s="5">
        <v>89.586428571428101</v>
      </c>
      <c r="H12" s="14">
        <v>25.571428571428601</v>
      </c>
      <c r="I12" s="14">
        <f t="shared" si="3"/>
        <v>12.357142857142801</v>
      </c>
      <c r="J12" s="8">
        <f t="shared" si="4"/>
        <v>25.264999999999802</v>
      </c>
      <c r="K12" s="15">
        <f t="shared" ca="1" si="2"/>
        <v>44794</v>
      </c>
    </row>
    <row r="13" spans="1:11" ht="19.5" thickBot="1" x14ac:dyDescent="0.35">
      <c r="A13" s="1">
        <v>12</v>
      </c>
      <c r="B13" s="2" t="s">
        <v>5</v>
      </c>
      <c r="C13" s="2" t="s">
        <v>11</v>
      </c>
      <c r="D13" s="3" t="s">
        <v>25</v>
      </c>
      <c r="E13" s="4">
        <v>53.000000000000298</v>
      </c>
      <c r="F13" s="14">
        <v>39.428571428571402</v>
      </c>
      <c r="G13" s="5">
        <v>77.354285714286107</v>
      </c>
      <c r="H13" s="14">
        <v>26</v>
      </c>
      <c r="I13" s="14">
        <f t="shared" si="3"/>
        <v>13.428571428571402</v>
      </c>
      <c r="J13" s="8">
        <f t="shared" si="4"/>
        <v>24.354285714285808</v>
      </c>
      <c r="K13" s="15">
        <f t="shared" ca="1" si="2"/>
        <v>44649</v>
      </c>
    </row>
    <row r="14" spans="1:11" ht="19.5" thickBot="1" x14ac:dyDescent="0.35">
      <c r="A14" s="1">
        <v>13</v>
      </c>
      <c r="B14" s="2" t="s">
        <v>2</v>
      </c>
      <c r="C14" s="2" t="s">
        <v>12</v>
      </c>
      <c r="D14" s="3" t="s">
        <v>28</v>
      </c>
      <c r="E14" s="4">
        <v>41.678571428571303</v>
      </c>
      <c r="F14" s="14">
        <v>40.928571428571402</v>
      </c>
      <c r="G14" s="5">
        <v>65.122142857143103</v>
      </c>
      <c r="H14" s="14">
        <v>26.428571428571399</v>
      </c>
      <c r="I14" s="14">
        <f t="shared" si="3"/>
        <v>14.500000000000004</v>
      </c>
      <c r="J14" s="8">
        <f t="shared" si="4"/>
        <v>23.443571428571801</v>
      </c>
      <c r="K14" s="15">
        <f t="shared" ca="1" si="2"/>
        <v>44835</v>
      </c>
    </row>
    <row r="15" spans="1:11" ht="19.5" thickBot="1" x14ac:dyDescent="0.35">
      <c r="A15" s="1">
        <v>14</v>
      </c>
      <c r="B15" s="2" t="s">
        <v>6</v>
      </c>
      <c r="C15" s="2" t="s">
        <v>13</v>
      </c>
      <c r="D15" s="3" t="s">
        <v>27</v>
      </c>
      <c r="E15" s="4">
        <v>30.357142857143302</v>
      </c>
      <c r="F15" s="14">
        <v>42.428571428571402</v>
      </c>
      <c r="G15" s="5">
        <v>52.8900000000001</v>
      </c>
      <c r="H15" s="14">
        <v>26.857142857142801</v>
      </c>
      <c r="I15" s="14">
        <f t="shared" si="3"/>
        <v>15.571428571428601</v>
      </c>
      <c r="J15" s="8">
        <f t="shared" si="4"/>
        <v>22.532857142856798</v>
      </c>
      <c r="K15" s="15">
        <f t="shared" ca="1" si="2"/>
        <v>44777</v>
      </c>
    </row>
    <row r="16" spans="1:11" ht="19.5" thickBot="1" x14ac:dyDescent="0.35">
      <c r="A16" s="1">
        <v>15</v>
      </c>
      <c r="B16" s="2" t="s">
        <v>2</v>
      </c>
      <c r="C16" s="2" t="s">
        <v>7</v>
      </c>
      <c r="D16" s="3" t="s">
        <v>22</v>
      </c>
      <c r="E16" s="4">
        <v>19.035714285714299</v>
      </c>
      <c r="F16" s="14">
        <v>43.928571428571402</v>
      </c>
      <c r="G16" s="5">
        <v>40.657857142857097</v>
      </c>
      <c r="H16" s="14">
        <v>27.285714285714299</v>
      </c>
      <c r="I16" s="14">
        <f t="shared" si="3"/>
        <v>16.642857142857103</v>
      </c>
      <c r="J16" s="8">
        <f t="shared" si="4"/>
        <v>21.622142857142798</v>
      </c>
      <c r="K16" s="15">
        <f t="shared" ca="1" si="2"/>
        <v>44703</v>
      </c>
    </row>
    <row r="17" spans="1:11" ht="19.5" thickBot="1" x14ac:dyDescent="0.35">
      <c r="A17" s="1">
        <v>16</v>
      </c>
      <c r="B17" s="2" t="s">
        <v>3</v>
      </c>
      <c r="C17" s="2" t="s">
        <v>8</v>
      </c>
      <c r="D17" s="3" t="s">
        <v>23</v>
      </c>
      <c r="E17" s="4">
        <v>7.7142857142852703</v>
      </c>
      <c r="F17" s="14">
        <v>45.428571428571402</v>
      </c>
      <c r="G17" s="5">
        <v>28.425714285714101</v>
      </c>
      <c r="H17" s="14">
        <v>27.714285714285701</v>
      </c>
      <c r="I17" s="14">
        <f t="shared" si="3"/>
        <v>17.714285714285701</v>
      </c>
      <c r="J17" s="8">
        <f t="shared" si="4"/>
        <v>20.711428571428829</v>
      </c>
      <c r="K17" s="15">
        <f t="shared" ca="1" si="2"/>
        <v>44645</v>
      </c>
    </row>
    <row r="18" spans="1:11" ht="18.75" x14ac:dyDescent="0.25">
      <c r="C18" s="9"/>
      <c r="D18" s="10"/>
      <c r="E18" s="11"/>
      <c r="F18" s="10"/>
      <c r="G18" s="12"/>
      <c r="H18" s="10"/>
      <c r="I18" s="10"/>
      <c r="J18" s="13"/>
    </row>
    <row r="19" spans="1:11" ht="18.75" x14ac:dyDescent="0.25">
      <c r="C19" s="9"/>
      <c r="D19" s="10"/>
      <c r="E19" s="11"/>
      <c r="F19" s="10"/>
      <c r="G19" s="12"/>
      <c r="H19" s="10"/>
      <c r="I19" s="10"/>
      <c r="J19" s="13"/>
    </row>
    <row r="20" spans="1:11" ht="18.75" x14ac:dyDescent="0.25">
      <c r="C20" s="9"/>
      <c r="D20" s="10"/>
      <c r="E20" s="11"/>
      <c r="F20" s="10"/>
      <c r="G20" s="12"/>
      <c r="H20" s="10"/>
      <c r="I20" s="10"/>
      <c r="J20" s="13"/>
    </row>
    <row r="21" spans="1:11" ht="18.75" x14ac:dyDescent="0.25">
      <c r="C21" s="9"/>
      <c r="D21" s="10"/>
      <c r="E21" s="11"/>
      <c r="F21" s="10"/>
      <c r="G21" s="12"/>
      <c r="H21" s="10"/>
      <c r="I21" s="10"/>
      <c r="J21" s="13"/>
    </row>
    <row r="22" spans="1:11" ht="18.75" x14ac:dyDescent="0.25">
      <c r="C22" s="9"/>
      <c r="D22" s="10"/>
      <c r="E22" s="11"/>
      <c r="F22" s="10"/>
      <c r="G22" s="12"/>
      <c r="H22" s="10"/>
      <c r="I22" s="10"/>
      <c r="J22" s="1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1C91-AA7B-4A3F-8A2F-9FFFAD3F68D4}">
  <sheetPr filterMode="1"/>
  <dimension ref="A1:K52"/>
  <sheetViews>
    <sheetView tabSelected="1" workbookViewId="0">
      <selection activeCell="E21" sqref="E21"/>
    </sheetView>
  </sheetViews>
  <sheetFormatPr defaultRowHeight="15" x14ac:dyDescent="0.25"/>
  <cols>
    <col min="1" max="1" width="11.7109375" customWidth="1"/>
    <col min="2" max="2" width="21.7109375" bestFit="1" customWidth="1"/>
    <col min="3" max="3" width="28.5703125" customWidth="1"/>
    <col min="4" max="4" width="15.140625" customWidth="1"/>
    <col min="5" max="5" width="11.7109375" customWidth="1"/>
    <col min="6" max="6" width="17" customWidth="1"/>
    <col min="7" max="7" width="18.28515625" customWidth="1"/>
    <col min="8" max="9" width="16.85546875" customWidth="1"/>
    <col min="10" max="10" width="10.5703125" customWidth="1"/>
    <col min="11" max="11" width="23.28515625" customWidth="1"/>
  </cols>
  <sheetData>
    <row r="1" spans="1:11" ht="57" thickBot="1" x14ac:dyDescent="0.3">
      <c r="A1" s="6" t="s">
        <v>0</v>
      </c>
      <c r="B1" s="6" t="s">
        <v>1</v>
      </c>
      <c r="C1" s="6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29</v>
      </c>
    </row>
    <row r="2" spans="1:11" ht="19.5" hidden="1" thickBot="1" x14ac:dyDescent="0.35">
      <c r="A2" s="1">
        <v>1</v>
      </c>
      <c r="B2" s="2" t="s">
        <v>2</v>
      </c>
      <c r="C2" s="2" t="s">
        <v>7</v>
      </c>
      <c r="D2" s="3" t="s">
        <v>22</v>
      </c>
      <c r="E2" s="4">
        <v>102</v>
      </c>
      <c r="F2" s="14">
        <v>15</v>
      </c>
      <c r="G2" s="5">
        <v>114.99</v>
      </c>
      <c r="H2" s="3">
        <v>15</v>
      </c>
      <c r="I2" s="14">
        <f>F2-H2</f>
        <v>0</v>
      </c>
      <c r="J2" s="8">
        <f>G2-E2</f>
        <v>12.989999999999995</v>
      </c>
      <c r="K2" s="15">
        <f ca="1">DATE(2022,RANDBETWEEN(1,12),RANDBETWEEN(1,31))</f>
        <v>44620</v>
      </c>
    </row>
    <row r="3" spans="1:11" ht="19.5" hidden="1" thickBot="1" x14ac:dyDescent="0.35">
      <c r="A3" s="1">
        <v>2</v>
      </c>
      <c r="B3" s="2" t="s">
        <v>3</v>
      </c>
      <c r="C3" s="2" t="s">
        <v>8</v>
      </c>
      <c r="D3" s="3" t="s">
        <v>23</v>
      </c>
      <c r="E3" s="4">
        <v>80</v>
      </c>
      <c r="F3" s="14">
        <v>32</v>
      </c>
      <c r="G3" s="5">
        <v>91</v>
      </c>
      <c r="H3" s="3">
        <v>30</v>
      </c>
      <c r="I3" s="14">
        <f t="shared" ref="I3:I17" si="0">F3-H3</f>
        <v>2</v>
      </c>
      <c r="J3" s="8">
        <f t="shared" ref="J3:J17" si="1">G3-E3</f>
        <v>11</v>
      </c>
      <c r="K3" s="15">
        <f t="shared" ref="K3:K17" ca="1" si="2">DATE(2022,RANDBETWEEN(1,12),RANDBETWEEN(1,31))</f>
        <v>44874</v>
      </c>
    </row>
    <row r="4" spans="1:11" ht="19.5" hidden="1" thickBot="1" x14ac:dyDescent="0.35">
      <c r="A4" s="1">
        <v>3</v>
      </c>
      <c r="B4" s="2" t="s">
        <v>4</v>
      </c>
      <c r="C4" s="2" t="s">
        <v>9</v>
      </c>
      <c r="D4" s="3" t="s">
        <v>24</v>
      </c>
      <c r="E4" s="4">
        <v>365</v>
      </c>
      <c r="F4" s="14">
        <v>40</v>
      </c>
      <c r="G4" s="5">
        <v>451.2</v>
      </c>
      <c r="H4" s="3">
        <v>36</v>
      </c>
      <c r="I4" s="14">
        <f t="shared" si="0"/>
        <v>4</v>
      </c>
      <c r="J4" s="8">
        <f t="shared" si="1"/>
        <v>86.199999999999989</v>
      </c>
      <c r="K4" s="15">
        <f t="shared" ca="1" si="2"/>
        <v>44875</v>
      </c>
    </row>
    <row r="5" spans="1:11" ht="19.5" thickBot="1" x14ac:dyDescent="0.35">
      <c r="A5" s="1">
        <v>4</v>
      </c>
      <c r="B5" s="2" t="s">
        <v>4</v>
      </c>
      <c r="C5" s="2" t="s">
        <v>10</v>
      </c>
      <c r="D5" s="3" t="s">
        <v>22</v>
      </c>
      <c r="E5" s="4">
        <v>199</v>
      </c>
      <c r="F5" s="14">
        <v>12</v>
      </c>
      <c r="G5" s="5">
        <v>245.5</v>
      </c>
      <c r="H5" s="3">
        <v>12</v>
      </c>
      <c r="I5" s="14">
        <f t="shared" si="0"/>
        <v>0</v>
      </c>
      <c r="J5" s="8">
        <f t="shared" si="1"/>
        <v>46.5</v>
      </c>
      <c r="K5" s="15">
        <f t="shared" ca="1" si="2"/>
        <v>44594</v>
      </c>
    </row>
    <row r="6" spans="1:11" ht="19.5" hidden="1" thickBot="1" x14ac:dyDescent="0.35">
      <c r="A6" s="1">
        <v>5</v>
      </c>
      <c r="B6" s="2" t="s">
        <v>5</v>
      </c>
      <c r="C6" s="2" t="s">
        <v>11</v>
      </c>
      <c r="D6" s="3" t="s">
        <v>25</v>
      </c>
      <c r="E6" s="4">
        <v>69</v>
      </c>
      <c r="F6" s="14">
        <v>32</v>
      </c>
      <c r="G6" s="5">
        <v>89.9</v>
      </c>
      <c r="H6" s="3">
        <v>11</v>
      </c>
      <c r="I6" s="14">
        <f t="shared" si="0"/>
        <v>21</v>
      </c>
      <c r="J6" s="8">
        <f t="shared" si="1"/>
        <v>20.900000000000006</v>
      </c>
      <c r="K6" s="15">
        <f t="shared" ca="1" si="2"/>
        <v>44726</v>
      </c>
    </row>
    <row r="7" spans="1:11" ht="19.5" hidden="1" thickBot="1" x14ac:dyDescent="0.35">
      <c r="A7" s="1">
        <v>6</v>
      </c>
      <c r="B7" s="2" t="s">
        <v>2</v>
      </c>
      <c r="C7" s="2" t="s">
        <v>12</v>
      </c>
      <c r="D7" s="3" t="s">
        <v>26</v>
      </c>
      <c r="E7" s="4">
        <v>125</v>
      </c>
      <c r="F7" s="14">
        <v>24</v>
      </c>
      <c r="G7" s="5">
        <v>155.9</v>
      </c>
      <c r="H7" s="3">
        <v>20</v>
      </c>
      <c r="I7" s="14">
        <f t="shared" si="0"/>
        <v>4</v>
      </c>
      <c r="J7" s="8">
        <f t="shared" si="1"/>
        <v>30.900000000000006</v>
      </c>
      <c r="K7" s="15">
        <f t="shared" ca="1" si="2"/>
        <v>44789</v>
      </c>
    </row>
    <row r="8" spans="1:11" ht="19.5" hidden="1" thickBot="1" x14ac:dyDescent="0.35">
      <c r="A8" s="1">
        <v>7</v>
      </c>
      <c r="B8" s="2" t="s">
        <v>6</v>
      </c>
      <c r="C8" s="2" t="s">
        <v>13</v>
      </c>
      <c r="D8" s="3" t="s">
        <v>27</v>
      </c>
      <c r="E8" s="4">
        <v>65</v>
      </c>
      <c r="F8" s="14">
        <v>37</v>
      </c>
      <c r="G8" s="5">
        <v>77.989999999999995</v>
      </c>
      <c r="H8" s="3">
        <v>34</v>
      </c>
      <c r="I8" s="14">
        <f t="shared" si="0"/>
        <v>3</v>
      </c>
      <c r="J8" s="8">
        <f t="shared" si="1"/>
        <v>12.989999999999995</v>
      </c>
      <c r="K8" s="15">
        <f t="shared" ca="1" si="2"/>
        <v>44769</v>
      </c>
    </row>
    <row r="9" spans="1:11" ht="19.5" hidden="1" thickBot="1" x14ac:dyDescent="0.35">
      <c r="A9" s="1">
        <v>8</v>
      </c>
      <c r="B9" s="2" t="s">
        <v>2</v>
      </c>
      <c r="C9" s="2" t="s">
        <v>7</v>
      </c>
      <c r="D9" s="3" t="s">
        <v>22</v>
      </c>
      <c r="E9" s="4">
        <v>98.285714285714306</v>
      </c>
      <c r="F9" s="14">
        <v>33.428571428571402</v>
      </c>
      <c r="G9" s="5">
        <v>126.282857142857</v>
      </c>
      <c r="H9" s="14">
        <v>24.285714285714299</v>
      </c>
      <c r="I9" s="14">
        <f t="shared" si="0"/>
        <v>9.1428571428571033</v>
      </c>
      <c r="J9" s="8">
        <f t="shared" si="1"/>
        <v>27.997142857142691</v>
      </c>
      <c r="K9" s="15">
        <f t="shared" ca="1" si="2"/>
        <v>44685</v>
      </c>
    </row>
    <row r="10" spans="1:11" ht="19.5" hidden="1" thickBot="1" x14ac:dyDescent="0.35">
      <c r="A10" s="1">
        <v>9</v>
      </c>
      <c r="B10" s="2" t="s">
        <v>3</v>
      </c>
      <c r="C10" s="2" t="s">
        <v>8</v>
      </c>
      <c r="D10" s="3" t="s">
        <v>23</v>
      </c>
      <c r="E10" s="4">
        <v>86.964285714285694</v>
      </c>
      <c r="F10" s="14">
        <v>34.928571428571402</v>
      </c>
      <c r="G10" s="5">
        <v>114.05071428571399</v>
      </c>
      <c r="H10" s="14">
        <v>24.714285714285701</v>
      </c>
      <c r="I10" s="14">
        <f t="shared" si="0"/>
        <v>10.214285714285701</v>
      </c>
      <c r="J10" s="8">
        <f t="shared" si="1"/>
        <v>27.0864285714283</v>
      </c>
      <c r="K10" s="15">
        <f t="shared" ca="1" si="2"/>
        <v>44577</v>
      </c>
    </row>
    <row r="11" spans="1:11" ht="19.5" hidden="1" thickBot="1" x14ac:dyDescent="0.35">
      <c r="A11" s="1">
        <v>10</v>
      </c>
      <c r="B11" s="2" t="s">
        <v>4</v>
      </c>
      <c r="C11" s="2" t="s">
        <v>9</v>
      </c>
      <c r="D11" s="3" t="s">
        <v>24</v>
      </c>
      <c r="E11" s="4">
        <v>75.642857142857295</v>
      </c>
      <c r="F11" s="14">
        <v>36.428571428571402</v>
      </c>
      <c r="G11" s="5">
        <v>101.818571428571</v>
      </c>
      <c r="H11" s="14">
        <v>25.1428571428571</v>
      </c>
      <c r="I11" s="14">
        <f t="shared" si="0"/>
        <v>11.285714285714302</v>
      </c>
      <c r="J11" s="8">
        <f t="shared" si="1"/>
        <v>26.17571428571371</v>
      </c>
      <c r="K11" s="15">
        <f t="shared" ca="1" si="2"/>
        <v>44715</v>
      </c>
    </row>
    <row r="12" spans="1:11" ht="19.5" hidden="1" thickBot="1" x14ac:dyDescent="0.35">
      <c r="A12" s="1">
        <v>11</v>
      </c>
      <c r="B12" s="2" t="s">
        <v>4</v>
      </c>
      <c r="C12" s="2" t="s">
        <v>10</v>
      </c>
      <c r="D12" s="3" t="s">
        <v>22</v>
      </c>
      <c r="E12" s="4">
        <v>64.321428571428299</v>
      </c>
      <c r="F12" s="14">
        <v>37.928571428571402</v>
      </c>
      <c r="G12" s="5">
        <v>89.586428571428101</v>
      </c>
      <c r="H12" s="14">
        <v>25.571428571428601</v>
      </c>
      <c r="I12" s="14">
        <f t="shared" si="0"/>
        <v>12.357142857142801</v>
      </c>
      <c r="J12" s="8">
        <f t="shared" si="1"/>
        <v>25.264999999999802</v>
      </c>
      <c r="K12" s="15">
        <f t="shared" ca="1" si="2"/>
        <v>44753</v>
      </c>
    </row>
    <row r="13" spans="1:11" ht="19.5" hidden="1" thickBot="1" x14ac:dyDescent="0.35">
      <c r="A13" s="1">
        <v>12</v>
      </c>
      <c r="B13" s="2" t="s">
        <v>5</v>
      </c>
      <c r="C13" s="2" t="s">
        <v>11</v>
      </c>
      <c r="D13" s="3" t="s">
        <v>25</v>
      </c>
      <c r="E13" s="4">
        <v>53.000000000000298</v>
      </c>
      <c r="F13" s="14">
        <v>39.428571428571402</v>
      </c>
      <c r="G13" s="5">
        <v>77.354285714286107</v>
      </c>
      <c r="H13" s="14">
        <v>26</v>
      </c>
      <c r="I13" s="14">
        <f t="shared" si="0"/>
        <v>13.428571428571402</v>
      </c>
      <c r="J13" s="8">
        <f t="shared" si="1"/>
        <v>24.354285714285808</v>
      </c>
      <c r="K13" s="15">
        <f t="shared" ca="1" si="2"/>
        <v>44794</v>
      </c>
    </row>
    <row r="14" spans="1:11" ht="19.5" hidden="1" thickBot="1" x14ac:dyDescent="0.35">
      <c r="A14" s="1">
        <v>13</v>
      </c>
      <c r="B14" s="2" t="s">
        <v>2</v>
      </c>
      <c r="C14" s="2" t="s">
        <v>12</v>
      </c>
      <c r="D14" s="3" t="s">
        <v>28</v>
      </c>
      <c r="E14" s="4">
        <v>41.678571428571303</v>
      </c>
      <c r="F14" s="14">
        <v>40.928571428571402</v>
      </c>
      <c r="G14" s="5">
        <v>65.122142857143103</v>
      </c>
      <c r="H14" s="14">
        <v>26.428571428571399</v>
      </c>
      <c r="I14" s="14">
        <f t="shared" si="0"/>
        <v>14.500000000000004</v>
      </c>
      <c r="J14" s="8">
        <f t="shared" si="1"/>
        <v>23.443571428571801</v>
      </c>
      <c r="K14" s="15">
        <f t="shared" ca="1" si="2"/>
        <v>44730</v>
      </c>
    </row>
    <row r="15" spans="1:11" ht="19.5" hidden="1" thickBot="1" x14ac:dyDescent="0.35">
      <c r="A15" s="1">
        <v>14</v>
      </c>
      <c r="B15" s="2" t="s">
        <v>6</v>
      </c>
      <c r="C15" s="2" t="s">
        <v>13</v>
      </c>
      <c r="D15" s="3" t="s">
        <v>27</v>
      </c>
      <c r="E15" s="4">
        <v>30.357142857143302</v>
      </c>
      <c r="F15" s="14">
        <v>42.428571428571402</v>
      </c>
      <c r="G15" s="5">
        <v>52.8900000000001</v>
      </c>
      <c r="H15" s="14">
        <v>26.857142857142801</v>
      </c>
      <c r="I15" s="14">
        <f t="shared" si="0"/>
        <v>15.571428571428601</v>
      </c>
      <c r="J15" s="8">
        <f t="shared" si="1"/>
        <v>22.532857142856798</v>
      </c>
      <c r="K15" s="15">
        <f t="shared" ca="1" si="2"/>
        <v>44871</v>
      </c>
    </row>
    <row r="16" spans="1:11" ht="19.5" hidden="1" thickBot="1" x14ac:dyDescent="0.35">
      <c r="A16" s="1">
        <v>15</v>
      </c>
      <c r="B16" s="2" t="s">
        <v>2</v>
      </c>
      <c r="C16" s="2" t="s">
        <v>7</v>
      </c>
      <c r="D16" s="3" t="s">
        <v>22</v>
      </c>
      <c r="E16" s="4">
        <v>19.035714285714299</v>
      </c>
      <c r="F16" s="14">
        <v>43.928571428571402</v>
      </c>
      <c r="G16" s="5">
        <v>40.657857142857097</v>
      </c>
      <c r="H16" s="14">
        <v>27.285714285714299</v>
      </c>
      <c r="I16" s="14">
        <f t="shared" si="0"/>
        <v>16.642857142857103</v>
      </c>
      <c r="J16" s="8">
        <f t="shared" si="1"/>
        <v>21.622142857142798</v>
      </c>
      <c r="K16" s="15">
        <f t="shared" ca="1" si="2"/>
        <v>44913</v>
      </c>
    </row>
    <row r="17" spans="1:11" ht="19.5" hidden="1" thickBot="1" x14ac:dyDescent="0.35">
      <c r="A17" s="1">
        <v>16</v>
      </c>
      <c r="B17" s="2" t="s">
        <v>3</v>
      </c>
      <c r="C17" s="2" t="s">
        <v>8</v>
      </c>
      <c r="D17" s="3" t="s">
        <v>23</v>
      </c>
      <c r="E17" s="4">
        <v>7.7142857142852703</v>
      </c>
      <c r="F17" s="14">
        <v>45.428571428571402</v>
      </c>
      <c r="G17" s="5">
        <v>28.425714285714101</v>
      </c>
      <c r="H17" s="14">
        <v>27.714285714285701</v>
      </c>
      <c r="I17" s="14">
        <f t="shared" si="0"/>
        <v>17.714285714285701</v>
      </c>
      <c r="J17" s="8">
        <f t="shared" si="1"/>
        <v>20.711428571428829</v>
      </c>
      <c r="K17" s="15">
        <f t="shared" ca="1" si="2"/>
        <v>44824</v>
      </c>
    </row>
    <row r="19" spans="1:11" ht="15.75" thickBot="1" x14ac:dyDescent="0.3"/>
    <row r="20" spans="1:11" ht="23.25" thickBot="1" x14ac:dyDescent="0.3">
      <c r="A20" s="16" t="s">
        <v>30</v>
      </c>
      <c r="B20" s="16" t="s">
        <v>31</v>
      </c>
      <c r="C20" s="16" t="s">
        <v>32</v>
      </c>
      <c r="D20" s="17" t="s">
        <v>33</v>
      </c>
    </row>
    <row r="21" spans="1:11" ht="19.5" thickBot="1" x14ac:dyDescent="0.3">
      <c r="A21" s="18">
        <f>COUNTIF(B37:B52,"К*")</f>
        <v>5</v>
      </c>
      <c r="B21" s="18">
        <f>COUNTIF(B37:B52,"М*")</f>
        <v>7</v>
      </c>
      <c r="C21" s="18">
        <f>COUNTIF(B37:B52,"В*")</f>
        <v>2</v>
      </c>
      <c r="D21" s="18">
        <f>COUNTIF(B37:B52,"Б*")</f>
        <v>2</v>
      </c>
    </row>
    <row r="35" spans="1:11" ht="15.75" thickBot="1" x14ac:dyDescent="0.3"/>
    <row r="36" spans="1:11" ht="57" thickBot="1" x14ac:dyDescent="0.3">
      <c r="A36" s="6" t="s">
        <v>0</v>
      </c>
      <c r="B36" s="6" t="s">
        <v>1</v>
      </c>
      <c r="C36" s="6" t="s">
        <v>14</v>
      </c>
      <c r="D36" s="7" t="s">
        <v>15</v>
      </c>
      <c r="E36" s="7" t="s">
        <v>16</v>
      </c>
      <c r="F36" s="7" t="s">
        <v>17</v>
      </c>
      <c r="G36" s="7" t="s">
        <v>18</v>
      </c>
      <c r="H36" s="7" t="s">
        <v>19</v>
      </c>
      <c r="I36" s="7" t="s">
        <v>20</v>
      </c>
      <c r="J36" s="7" t="s">
        <v>21</v>
      </c>
      <c r="K36" s="7" t="s">
        <v>29</v>
      </c>
    </row>
    <row r="37" spans="1:11" ht="19.5" thickBot="1" x14ac:dyDescent="0.35">
      <c r="A37" s="1">
        <v>1</v>
      </c>
      <c r="B37" s="2" t="s">
        <v>2</v>
      </c>
      <c r="C37" s="2" t="s">
        <v>7</v>
      </c>
      <c r="D37" s="3" t="s">
        <v>22</v>
      </c>
      <c r="E37" s="4">
        <v>102</v>
      </c>
      <c r="F37" s="14">
        <v>15</v>
      </c>
      <c r="G37" s="5">
        <v>114.99</v>
      </c>
      <c r="H37" s="3">
        <v>15</v>
      </c>
      <c r="I37" s="14">
        <f>F37-H37</f>
        <v>0</v>
      </c>
      <c r="J37" s="8">
        <f>G37-E37</f>
        <v>12.989999999999995</v>
      </c>
      <c r="K37" s="15">
        <f ca="1">DATE(2022,RANDBETWEEN(1,12),RANDBETWEEN(1,31))</f>
        <v>44862</v>
      </c>
    </row>
    <row r="38" spans="1:11" ht="19.5" thickBot="1" x14ac:dyDescent="0.35">
      <c r="A38" s="1">
        <v>2</v>
      </c>
      <c r="B38" s="2" t="s">
        <v>3</v>
      </c>
      <c r="C38" s="2" t="s">
        <v>8</v>
      </c>
      <c r="D38" s="3" t="s">
        <v>23</v>
      </c>
      <c r="E38" s="4">
        <v>80</v>
      </c>
      <c r="F38" s="14">
        <v>32</v>
      </c>
      <c r="G38" s="5">
        <v>91</v>
      </c>
      <c r="H38" s="3">
        <v>30</v>
      </c>
      <c r="I38" s="14">
        <f t="shared" ref="I38:I52" si="3">F38-H38</f>
        <v>2</v>
      </c>
      <c r="J38" s="8">
        <f t="shared" ref="J38:J52" si="4">G38-E38</f>
        <v>11</v>
      </c>
      <c r="K38" s="15">
        <f t="shared" ref="K38:K52" ca="1" si="5">DATE(2022,RANDBETWEEN(1,12),RANDBETWEEN(1,31))</f>
        <v>44914</v>
      </c>
    </row>
    <row r="39" spans="1:11" ht="19.5" thickBot="1" x14ac:dyDescent="0.35">
      <c r="A39" s="1">
        <v>3</v>
      </c>
      <c r="B39" s="2" t="s">
        <v>4</v>
      </c>
      <c r="C39" s="2" t="s">
        <v>9</v>
      </c>
      <c r="D39" s="3" t="s">
        <v>24</v>
      </c>
      <c r="E39" s="4">
        <v>365</v>
      </c>
      <c r="F39" s="14">
        <v>40</v>
      </c>
      <c r="G39" s="5">
        <v>451.2</v>
      </c>
      <c r="H39" s="3">
        <v>36</v>
      </c>
      <c r="I39" s="14">
        <f t="shared" si="3"/>
        <v>4</v>
      </c>
      <c r="J39" s="8">
        <f t="shared" si="4"/>
        <v>86.199999999999989</v>
      </c>
      <c r="K39" s="15">
        <f t="shared" ca="1" si="5"/>
        <v>44862</v>
      </c>
    </row>
    <row r="40" spans="1:11" ht="19.5" thickBot="1" x14ac:dyDescent="0.35">
      <c r="A40" s="1">
        <v>4</v>
      </c>
      <c r="B40" s="2" t="s">
        <v>4</v>
      </c>
      <c r="C40" s="2" t="s">
        <v>10</v>
      </c>
      <c r="D40" s="3" t="s">
        <v>22</v>
      </c>
      <c r="E40" s="4">
        <v>199</v>
      </c>
      <c r="F40" s="14">
        <v>12</v>
      </c>
      <c r="G40" s="5">
        <v>245.5</v>
      </c>
      <c r="H40" s="3">
        <v>12</v>
      </c>
      <c r="I40" s="14">
        <f t="shared" si="3"/>
        <v>0</v>
      </c>
      <c r="J40" s="8">
        <f t="shared" si="4"/>
        <v>46.5</v>
      </c>
      <c r="K40" s="15">
        <f t="shared" ca="1" si="5"/>
        <v>44658</v>
      </c>
    </row>
    <row r="41" spans="1:11" ht="19.5" thickBot="1" x14ac:dyDescent="0.35">
      <c r="A41" s="1">
        <v>5</v>
      </c>
      <c r="B41" s="2" t="s">
        <v>5</v>
      </c>
      <c r="C41" s="2" t="s">
        <v>11</v>
      </c>
      <c r="D41" s="3" t="s">
        <v>25</v>
      </c>
      <c r="E41" s="4">
        <v>69</v>
      </c>
      <c r="F41" s="14">
        <v>32</v>
      </c>
      <c r="G41" s="5">
        <v>89.9</v>
      </c>
      <c r="H41" s="3">
        <v>11</v>
      </c>
      <c r="I41" s="14">
        <f t="shared" si="3"/>
        <v>21</v>
      </c>
      <c r="J41" s="8">
        <f t="shared" si="4"/>
        <v>20.900000000000006</v>
      </c>
      <c r="K41" s="15">
        <f t="shared" ca="1" si="5"/>
        <v>44591</v>
      </c>
    </row>
    <row r="42" spans="1:11" ht="19.5" thickBot="1" x14ac:dyDescent="0.35">
      <c r="A42" s="1">
        <v>6</v>
      </c>
      <c r="B42" s="2" t="s">
        <v>2</v>
      </c>
      <c r="C42" s="2" t="s">
        <v>12</v>
      </c>
      <c r="D42" s="3" t="s">
        <v>26</v>
      </c>
      <c r="E42" s="4">
        <v>125</v>
      </c>
      <c r="F42" s="14">
        <v>24</v>
      </c>
      <c r="G42" s="5">
        <v>155.9</v>
      </c>
      <c r="H42" s="3">
        <v>20</v>
      </c>
      <c r="I42" s="14">
        <f t="shared" si="3"/>
        <v>4</v>
      </c>
      <c r="J42" s="8">
        <f t="shared" si="4"/>
        <v>30.900000000000006</v>
      </c>
      <c r="K42" s="15">
        <f t="shared" ca="1" si="5"/>
        <v>44866</v>
      </c>
    </row>
    <row r="43" spans="1:11" ht="19.5" thickBot="1" x14ac:dyDescent="0.35">
      <c r="A43" s="1">
        <v>7</v>
      </c>
      <c r="B43" s="2" t="s">
        <v>6</v>
      </c>
      <c r="C43" s="2" t="s">
        <v>13</v>
      </c>
      <c r="D43" s="3" t="s">
        <v>27</v>
      </c>
      <c r="E43" s="4">
        <v>65</v>
      </c>
      <c r="F43" s="14">
        <v>37</v>
      </c>
      <c r="G43" s="5">
        <v>77.989999999999995</v>
      </c>
      <c r="H43" s="3">
        <v>34</v>
      </c>
      <c r="I43" s="14">
        <f t="shared" si="3"/>
        <v>3</v>
      </c>
      <c r="J43" s="8">
        <f t="shared" si="4"/>
        <v>12.989999999999995</v>
      </c>
      <c r="K43" s="15">
        <f t="shared" ca="1" si="5"/>
        <v>44679</v>
      </c>
    </row>
    <row r="44" spans="1:11" ht="19.5" thickBot="1" x14ac:dyDescent="0.35">
      <c r="A44" s="1">
        <v>8</v>
      </c>
      <c r="B44" s="2" t="s">
        <v>2</v>
      </c>
      <c r="C44" s="2" t="s">
        <v>7</v>
      </c>
      <c r="D44" s="3" t="s">
        <v>22</v>
      </c>
      <c r="E44" s="4">
        <v>98.285714285714306</v>
      </c>
      <c r="F44" s="14">
        <v>33.428571428571402</v>
      </c>
      <c r="G44" s="5">
        <v>126.282857142857</v>
      </c>
      <c r="H44" s="14">
        <v>24.285714285714299</v>
      </c>
      <c r="I44" s="14">
        <f t="shared" si="3"/>
        <v>9.1428571428571033</v>
      </c>
      <c r="J44" s="8">
        <f t="shared" si="4"/>
        <v>27.997142857142691</v>
      </c>
      <c r="K44" s="15">
        <f t="shared" ca="1" si="5"/>
        <v>44765</v>
      </c>
    </row>
    <row r="45" spans="1:11" ht="19.5" thickBot="1" x14ac:dyDescent="0.35">
      <c r="A45" s="1">
        <v>9</v>
      </c>
      <c r="B45" s="2" t="s">
        <v>3</v>
      </c>
      <c r="C45" s="2" t="s">
        <v>8</v>
      </c>
      <c r="D45" s="3" t="s">
        <v>23</v>
      </c>
      <c r="E45" s="4">
        <v>86.964285714285694</v>
      </c>
      <c r="F45" s="14">
        <v>34.928571428571402</v>
      </c>
      <c r="G45" s="5">
        <v>114.05071428571399</v>
      </c>
      <c r="H45" s="14">
        <v>24.714285714285701</v>
      </c>
      <c r="I45" s="14">
        <f t="shared" si="3"/>
        <v>10.214285714285701</v>
      </c>
      <c r="J45" s="8">
        <f t="shared" si="4"/>
        <v>27.0864285714283</v>
      </c>
      <c r="K45" s="15">
        <f t="shared" ca="1" si="5"/>
        <v>44894</v>
      </c>
    </row>
    <row r="46" spans="1:11" ht="19.5" thickBot="1" x14ac:dyDescent="0.35">
      <c r="A46" s="1">
        <v>10</v>
      </c>
      <c r="B46" s="2" t="s">
        <v>4</v>
      </c>
      <c r="C46" s="2" t="s">
        <v>9</v>
      </c>
      <c r="D46" s="3" t="s">
        <v>24</v>
      </c>
      <c r="E46" s="4">
        <v>75.642857142857295</v>
      </c>
      <c r="F46" s="14">
        <v>36.428571428571402</v>
      </c>
      <c r="G46" s="5">
        <v>101.818571428571</v>
      </c>
      <c r="H46" s="14">
        <v>25.1428571428571</v>
      </c>
      <c r="I46" s="14">
        <f t="shared" si="3"/>
        <v>11.285714285714302</v>
      </c>
      <c r="J46" s="8">
        <f t="shared" si="4"/>
        <v>26.17571428571371</v>
      </c>
      <c r="K46" s="15">
        <f t="shared" ca="1" si="5"/>
        <v>44615</v>
      </c>
    </row>
    <row r="47" spans="1:11" ht="19.5" thickBot="1" x14ac:dyDescent="0.35">
      <c r="A47" s="1">
        <v>11</v>
      </c>
      <c r="B47" s="2" t="s">
        <v>4</v>
      </c>
      <c r="C47" s="2" t="s">
        <v>10</v>
      </c>
      <c r="D47" s="3" t="s">
        <v>22</v>
      </c>
      <c r="E47" s="4">
        <v>64.321428571428299</v>
      </c>
      <c r="F47" s="14">
        <v>37.928571428571402</v>
      </c>
      <c r="G47" s="5">
        <v>89.586428571428101</v>
      </c>
      <c r="H47" s="14">
        <v>25.571428571428601</v>
      </c>
      <c r="I47" s="14">
        <f t="shared" si="3"/>
        <v>12.357142857142801</v>
      </c>
      <c r="J47" s="8">
        <f t="shared" si="4"/>
        <v>25.264999999999802</v>
      </c>
      <c r="K47" s="15">
        <f t="shared" ca="1" si="5"/>
        <v>44863</v>
      </c>
    </row>
    <row r="48" spans="1:11" ht="19.5" thickBot="1" x14ac:dyDescent="0.35">
      <c r="A48" s="1">
        <v>12</v>
      </c>
      <c r="B48" s="2" t="s">
        <v>5</v>
      </c>
      <c r="C48" s="2" t="s">
        <v>11</v>
      </c>
      <c r="D48" s="3" t="s">
        <v>25</v>
      </c>
      <c r="E48" s="4">
        <v>53.000000000000298</v>
      </c>
      <c r="F48" s="14">
        <v>39.428571428571402</v>
      </c>
      <c r="G48" s="5">
        <v>77.354285714286107</v>
      </c>
      <c r="H48" s="14">
        <v>26</v>
      </c>
      <c r="I48" s="14">
        <f t="shared" si="3"/>
        <v>13.428571428571402</v>
      </c>
      <c r="J48" s="8">
        <f t="shared" si="4"/>
        <v>24.354285714285808</v>
      </c>
      <c r="K48" s="15">
        <f t="shared" ca="1" si="5"/>
        <v>44907</v>
      </c>
    </row>
    <row r="49" spans="1:11" ht="19.5" thickBot="1" x14ac:dyDescent="0.35">
      <c r="A49" s="1">
        <v>13</v>
      </c>
      <c r="B49" s="2" t="s">
        <v>2</v>
      </c>
      <c r="C49" s="2" t="s">
        <v>12</v>
      </c>
      <c r="D49" s="3" t="s">
        <v>28</v>
      </c>
      <c r="E49" s="4">
        <v>41.678571428571303</v>
      </c>
      <c r="F49" s="14">
        <v>40.928571428571402</v>
      </c>
      <c r="G49" s="5">
        <v>65.122142857143103</v>
      </c>
      <c r="H49" s="14">
        <v>26.428571428571399</v>
      </c>
      <c r="I49" s="14">
        <f t="shared" si="3"/>
        <v>14.500000000000004</v>
      </c>
      <c r="J49" s="8">
        <f t="shared" si="4"/>
        <v>23.443571428571801</v>
      </c>
      <c r="K49" s="15">
        <f t="shared" ca="1" si="5"/>
        <v>44895</v>
      </c>
    </row>
    <row r="50" spans="1:11" ht="19.5" thickBot="1" x14ac:dyDescent="0.35">
      <c r="A50" s="1">
        <v>14</v>
      </c>
      <c r="B50" s="2" t="s">
        <v>6</v>
      </c>
      <c r="C50" s="2" t="s">
        <v>13</v>
      </c>
      <c r="D50" s="3" t="s">
        <v>27</v>
      </c>
      <c r="E50" s="4">
        <v>30.357142857143302</v>
      </c>
      <c r="F50" s="14">
        <v>42.428571428571402</v>
      </c>
      <c r="G50" s="5">
        <v>52.8900000000001</v>
      </c>
      <c r="H50" s="14">
        <v>26.857142857142801</v>
      </c>
      <c r="I50" s="14">
        <f t="shared" si="3"/>
        <v>15.571428571428601</v>
      </c>
      <c r="J50" s="8">
        <f t="shared" si="4"/>
        <v>22.532857142856798</v>
      </c>
      <c r="K50" s="15">
        <f t="shared" ca="1" si="5"/>
        <v>44583</v>
      </c>
    </row>
    <row r="51" spans="1:11" ht="19.5" thickBot="1" x14ac:dyDescent="0.35">
      <c r="A51" s="1">
        <v>15</v>
      </c>
      <c r="B51" s="2" t="s">
        <v>2</v>
      </c>
      <c r="C51" s="2" t="s">
        <v>7</v>
      </c>
      <c r="D51" s="3" t="s">
        <v>22</v>
      </c>
      <c r="E51" s="4">
        <v>19.035714285714299</v>
      </c>
      <c r="F51" s="14">
        <v>43.928571428571402</v>
      </c>
      <c r="G51" s="5">
        <v>40.657857142857097</v>
      </c>
      <c r="H51" s="14">
        <v>27.285714285714299</v>
      </c>
      <c r="I51" s="14">
        <f t="shared" si="3"/>
        <v>16.642857142857103</v>
      </c>
      <c r="J51" s="8">
        <f t="shared" si="4"/>
        <v>21.622142857142798</v>
      </c>
      <c r="K51" s="15">
        <f t="shared" ca="1" si="5"/>
        <v>44604</v>
      </c>
    </row>
    <row r="52" spans="1:11" ht="19.5" thickBot="1" x14ac:dyDescent="0.35">
      <c r="A52" s="1">
        <v>16</v>
      </c>
      <c r="B52" s="2" t="s">
        <v>3</v>
      </c>
      <c r="C52" s="2" t="s">
        <v>8</v>
      </c>
      <c r="D52" s="3" t="s">
        <v>23</v>
      </c>
      <c r="E52" s="4">
        <v>7.7142857142852703</v>
      </c>
      <c r="F52" s="14">
        <v>45.428571428571402</v>
      </c>
      <c r="G52" s="5">
        <v>28.425714285714101</v>
      </c>
      <c r="H52" s="14">
        <v>27.714285714285701</v>
      </c>
      <c r="I52" s="14">
        <f t="shared" si="3"/>
        <v>17.714285714285701</v>
      </c>
      <c r="J52" s="8">
        <f t="shared" si="4"/>
        <v>20.711428571428829</v>
      </c>
      <c r="K52" s="15">
        <f t="shared" ca="1" si="5"/>
        <v>44767</v>
      </c>
    </row>
  </sheetData>
  <autoFilter ref="A1:K17" xr:uid="{094C1C91-AA7B-4A3F-8A2F-9FFFAD3F68D4}">
    <filterColumn colId="1">
      <customFilters>
        <customFilter val="М*"/>
      </customFilters>
    </filterColumn>
    <filterColumn colId="5">
      <customFilters and="1">
        <customFilter operator="greaterThanOrEqual" val="10"/>
        <customFilter operator="lessThanOrEqual" val="3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AAFD3-58F5-43DA-87F7-9E14889007A9}">
  <sheetPr filterMode="1"/>
  <dimension ref="A1:K17"/>
  <sheetViews>
    <sheetView workbookViewId="0">
      <selection activeCell="G20" sqref="G20"/>
    </sheetView>
  </sheetViews>
  <sheetFormatPr defaultRowHeight="15" x14ac:dyDescent="0.25"/>
  <cols>
    <col min="1" max="1" width="11.7109375" customWidth="1"/>
    <col min="2" max="2" width="21.7109375" bestFit="1" customWidth="1"/>
    <col min="3" max="3" width="28.5703125" customWidth="1"/>
    <col min="4" max="4" width="15.140625" customWidth="1"/>
    <col min="5" max="5" width="11.7109375" customWidth="1"/>
    <col min="6" max="6" width="17" customWidth="1"/>
    <col min="7" max="7" width="18.28515625" customWidth="1"/>
    <col min="8" max="9" width="16.85546875" customWidth="1"/>
    <col min="10" max="10" width="10.5703125" customWidth="1"/>
    <col min="11" max="11" width="23.28515625" customWidth="1"/>
  </cols>
  <sheetData>
    <row r="1" spans="1:11" ht="57" thickBot="1" x14ac:dyDescent="0.3">
      <c r="A1" s="6" t="s">
        <v>0</v>
      </c>
      <c r="B1" s="6" t="s">
        <v>1</v>
      </c>
      <c r="C1" s="6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29</v>
      </c>
    </row>
    <row r="2" spans="1:11" ht="19.5" hidden="1" thickBot="1" x14ac:dyDescent="0.35">
      <c r="A2" s="1">
        <v>1</v>
      </c>
      <c r="B2" s="2" t="s">
        <v>2</v>
      </c>
      <c r="C2" s="2" t="s">
        <v>7</v>
      </c>
      <c r="D2" s="3" t="s">
        <v>22</v>
      </c>
      <c r="E2" s="4">
        <v>102</v>
      </c>
      <c r="F2" s="14">
        <v>15</v>
      </c>
      <c r="G2" s="5">
        <v>114.99</v>
      </c>
      <c r="H2" s="3">
        <v>15</v>
      </c>
      <c r="I2" s="14">
        <f>F2-H2</f>
        <v>0</v>
      </c>
      <c r="J2" s="8">
        <f>G2-E2</f>
        <v>12.989999999999995</v>
      </c>
      <c r="K2" s="15">
        <f ca="1">DATE(2022,RANDBETWEEN(1,12),RANDBETWEEN(1,31))</f>
        <v>44577</v>
      </c>
    </row>
    <row r="3" spans="1:11" ht="19.5" hidden="1" thickBot="1" x14ac:dyDescent="0.35">
      <c r="A3" s="1">
        <v>2</v>
      </c>
      <c r="B3" s="2" t="s">
        <v>3</v>
      </c>
      <c r="C3" s="2" t="s">
        <v>8</v>
      </c>
      <c r="D3" s="3" t="s">
        <v>23</v>
      </c>
      <c r="E3" s="4">
        <v>80</v>
      </c>
      <c r="F3" s="14">
        <v>32</v>
      </c>
      <c r="G3" s="5">
        <v>91</v>
      </c>
      <c r="H3" s="3">
        <v>30</v>
      </c>
      <c r="I3" s="14">
        <f t="shared" ref="I3:I17" si="0">F3-H3</f>
        <v>2</v>
      </c>
      <c r="J3" s="8">
        <f t="shared" ref="J3:J17" si="1">G3-E3</f>
        <v>11</v>
      </c>
      <c r="K3" s="15">
        <f t="shared" ref="K3:K17" ca="1" si="2">DATE(2022,RANDBETWEEN(1,12),RANDBETWEEN(1,31))</f>
        <v>44720</v>
      </c>
    </row>
    <row r="4" spans="1:11" ht="19.5" thickBot="1" x14ac:dyDescent="0.35">
      <c r="A4" s="1">
        <v>3</v>
      </c>
      <c r="B4" s="2" t="s">
        <v>4</v>
      </c>
      <c r="C4" s="2" t="s">
        <v>9</v>
      </c>
      <c r="D4" s="3" t="s">
        <v>24</v>
      </c>
      <c r="E4" s="4">
        <v>365</v>
      </c>
      <c r="F4" s="14">
        <v>40</v>
      </c>
      <c r="G4" s="5">
        <v>451.2</v>
      </c>
      <c r="H4" s="3">
        <v>36</v>
      </c>
      <c r="I4" s="14">
        <f t="shared" si="0"/>
        <v>4</v>
      </c>
      <c r="J4" s="8">
        <f t="shared" si="1"/>
        <v>86.199999999999989</v>
      </c>
      <c r="K4" s="15">
        <f t="shared" ca="1" si="2"/>
        <v>44621</v>
      </c>
    </row>
    <row r="5" spans="1:11" ht="19.5" hidden="1" thickBot="1" x14ac:dyDescent="0.35">
      <c r="A5" s="1">
        <v>4</v>
      </c>
      <c r="B5" s="2" t="s">
        <v>4</v>
      </c>
      <c r="C5" s="2" t="s">
        <v>10</v>
      </c>
      <c r="D5" s="3" t="s">
        <v>22</v>
      </c>
      <c r="E5" s="4">
        <v>199</v>
      </c>
      <c r="F5" s="14">
        <v>12</v>
      </c>
      <c r="G5" s="5">
        <v>245.5</v>
      </c>
      <c r="H5" s="3">
        <v>12</v>
      </c>
      <c r="I5" s="14">
        <f t="shared" si="0"/>
        <v>0</v>
      </c>
      <c r="J5" s="8">
        <f t="shared" si="1"/>
        <v>46.5</v>
      </c>
      <c r="K5" s="15">
        <f t="shared" ca="1" si="2"/>
        <v>44708</v>
      </c>
    </row>
    <row r="6" spans="1:11" ht="19.5" hidden="1" thickBot="1" x14ac:dyDescent="0.35">
      <c r="A6" s="1">
        <v>5</v>
      </c>
      <c r="B6" s="2" t="s">
        <v>5</v>
      </c>
      <c r="C6" s="2" t="s">
        <v>11</v>
      </c>
      <c r="D6" s="3" t="s">
        <v>25</v>
      </c>
      <c r="E6" s="4">
        <v>69</v>
      </c>
      <c r="F6" s="14">
        <v>32</v>
      </c>
      <c r="G6" s="5">
        <v>89.9</v>
      </c>
      <c r="H6" s="3">
        <v>11</v>
      </c>
      <c r="I6" s="14">
        <f t="shared" si="0"/>
        <v>21</v>
      </c>
      <c r="J6" s="8">
        <f t="shared" si="1"/>
        <v>20.900000000000006</v>
      </c>
      <c r="K6" s="15">
        <f t="shared" ca="1" si="2"/>
        <v>44791</v>
      </c>
    </row>
    <row r="7" spans="1:11" ht="19.5" hidden="1" thickBot="1" x14ac:dyDescent="0.35">
      <c r="A7" s="1">
        <v>6</v>
      </c>
      <c r="B7" s="2" t="s">
        <v>2</v>
      </c>
      <c r="C7" s="2" t="s">
        <v>12</v>
      </c>
      <c r="D7" s="3" t="s">
        <v>26</v>
      </c>
      <c r="E7" s="4">
        <v>125</v>
      </c>
      <c r="F7" s="14">
        <v>24</v>
      </c>
      <c r="G7" s="5">
        <v>155.9</v>
      </c>
      <c r="H7" s="3">
        <v>20</v>
      </c>
      <c r="I7" s="14">
        <f t="shared" si="0"/>
        <v>4</v>
      </c>
      <c r="J7" s="8">
        <f t="shared" si="1"/>
        <v>30.900000000000006</v>
      </c>
      <c r="K7" s="15">
        <f t="shared" ca="1" si="2"/>
        <v>44643</v>
      </c>
    </row>
    <row r="8" spans="1:11" ht="19.5" hidden="1" thickBot="1" x14ac:dyDescent="0.35">
      <c r="A8" s="1">
        <v>7</v>
      </c>
      <c r="B8" s="2" t="s">
        <v>6</v>
      </c>
      <c r="C8" s="2" t="s">
        <v>13</v>
      </c>
      <c r="D8" s="3" t="s">
        <v>27</v>
      </c>
      <c r="E8" s="4">
        <v>65</v>
      </c>
      <c r="F8" s="14">
        <v>37</v>
      </c>
      <c r="G8" s="5">
        <v>77.989999999999995</v>
      </c>
      <c r="H8" s="3">
        <v>34</v>
      </c>
      <c r="I8" s="14">
        <f t="shared" si="0"/>
        <v>3</v>
      </c>
      <c r="J8" s="8">
        <f t="shared" si="1"/>
        <v>12.989999999999995</v>
      </c>
      <c r="K8" s="15">
        <f t="shared" ca="1" si="2"/>
        <v>44883</v>
      </c>
    </row>
    <row r="9" spans="1:11" ht="19.5" hidden="1" thickBot="1" x14ac:dyDescent="0.35">
      <c r="A9" s="1">
        <v>8</v>
      </c>
      <c r="B9" s="2" t="s">
        <v>2</v>
      </c>
      <c r="C9" s="2" t="s">
        <v>7</v>
      </c>
      <c r="D9" s="3" t="s">
        <v>22</v>
      </c>
      <c r="E9" s="4">
        <v>98.285714285714306</v>
      </c>
      <c r="F9" s="14">
        <v>33.428571428571402</v>
      </c>
      <c r="G9" s="5">
        <v>126.282857142857</v>
      </c>
      <c r="H9" s="14">
        <v>24.285714285714299</v>
      </c>
      <c r="I9" s="14">
        <f t="shared" si="0"/>
        <v>9.1428571428571033</v>
      </c>
      <c r="J9" s="8">
        <f t="shared" si="1"/>
        <v>27.997142857142691</v>
      </c>
      <c r="K9" s="15">
        <f t="shared" ca="1" si="2"/>
        <v>44683</v>
      </c>
    </row>
    <row r="10" spans="1:11" ht="19.5" hidden="1" thickBot="1" x14ac:dyDescent="0.35">
      <c r="A10" s="1">
        <v>9</v>
      </c>
      <c r="B10" s="2" t="s">
        <v>3</v>
      </c>
      <c r="C10" s="2" t="s">
        <v>8</v>
      </c>
      <c r="D10" s="3" t="s">
        <v>23</v>
      </c>
      <c r="E10" s="4">
        <v>86.964285714285694</v>
      </c>
      <c r="F10" s="14">
        <v>34.928571428571402</v>
      </c>
      <c r="G10" s="5">
        <v>114.05071428571399</v>
      </c>
      <c r="H10" s="14">
        <v>24.714285714285701</v>
      </c>
      <c r="I10" s="14">
        <f t="shared" si="0"/>
        <v>10.214285714285701</v>
      </c>
      <c r="J10" s="8">
        <f t="shared" si="1"/>
        <v>27.0864285714283</v>
      </c>
      <c r="K10" s="15">
        <f t="shared" ca="1" si="2"/>
        <v>44583</v>
      </c>
    </row>
    <row r="11" spans="1:11" ht="19.5" thickBot="1" x14ac:dyDescent="0.35">
      <c r="A11" s="1">
        <v>10</v>
      </c>
      <c r="B11" s="2" t="s">
        <v>4</v>
      </c>
      <c r="C11" s="2" t="s">
        <v>9</v>
      </c>
      <c r="D11" s="3" t="s">
        <v>24</v>
      </c>
      <c r="E11" s="4">
        <v>75.642857142857295</v>
      </c>
      <c r="F11" s="14">
        <v>36.428571428571402</v>
      </c>
      <c r="G11" s="5">
        <v>101.818571428571</v>
      </c>
      <c r="H11" s="14">
        <v>25.1428571428571</v>
      </c>
      <c r="I11" s="14">
        <f t="shared" si="0"/>
        <v>11.285714285714302</v>
      </c>
      <c r="J11" s="8">
        <f t="shared" si="1"/>
        <v>26.17571428571371</v>
      </c>
      <c r="K11" s="15">
        <f t="shared" ca="1" si="2"/>
        <v>44777</v>
      </c>
    </row>
    <row r="12" spans="1:11" ht="19.5" hidden="1" thickBot="1" x14ac:dyDescent="0.35">
      <c r="A12" s="1">
        <v>11</v>
      </c>
      <c r="B12" s="2" t="s">
        <v>4</v>
      </c>
      <c r="C12" s="2" t="s">
        <v>10</v>
      </c>
      <c r="D12" s="3" t="s">
        <v>22</v>
      </c>
      <c r="E12" s="4">
        <v>64.321428571428299</v>
      </c>
      <c r="F12" s="14">
        <v>37.928571428571402</v>
      </c>
      <c r="G12" s="5">
        <v>89.586428571428101</v>
      </c>
      <c r="H12" s="14">
        <v>25.571428571428601</v>
      </c>
      <c r="I12" s="14">
        <f t="shared" si="0"/>
        <v>12.357142857142801</v>
      </c>
      <c r="J12" s="8">
        <f t="shared" si="1"/>
        <v>25.264999999999802</v>
      </c>
      <c r="K12" s="15">
        <f t="shared" ca="1" si="2"/>
        <v>44821</v>
      </c>
    </row>
    <row r="13" spans="1:11" ht="19.5" hidden="1" thickBot="1" x14ac:dyDescent="0.35">
      <c r="A13" s="1">
        <v>12</v>
      </c>
      <c r="B13" s="2" t="s">
        <v>5</v>
      </c>
      <c r="C13" s="2" t="s">
        <v>11</v>
      </c>
      <c r="D13" s="3" t="s">
        <v>25</v>
      </c>
      <c r="E13" s="4">
        <v>53.000000000000298</v>
      </c>
      <c r="F13" s="14">
        <v>39.428571428571402</v>
      </c>
      <c r="G13" s="5">
        <v>77.354285714286107</v>
      </c>
      <c r="H13" s="14">
        <v>26</v>
      </c>
      <c r="I13" s="14">
        <f t="shared" si="0"/>
        <v>13.428571428571402</v>
      </c>
      <c r="J13" s="8">
        <f t="shared" si="1"/>
        <v>24.354285714285808</v>
      </c>
      <c r="K13" s="15">
        <f t="shared" ca="1" si="2"/>
        <v>44614</v>
      </c>
    </row>
    <row r="14" spans="1:11" ht="19.5" hidden="1" thickBot="1" x14ac:dyDescent="0.35">
      <c r="A14" s="1">
        <v>13</v>
      </c>
      <c r="B14" s="2" t="s">
        <v>2</v>
      </c>
      <c r="C14" s="2" t="s">
        <v>12</v>
      </c>
      <c r="D14" s="3" t="s">
        <v>28</v>
      </c>
      <c r="E14" s="4">
        <v>41.678571428571303</v>
      </c>
      <c r="F14" s="14">
        <v>40.928571428571402</v>
      </c>
      <c r="G14" s="5">
        <v>65.122142857143103</v>
      </c>
      <c r="H14" s="14">
        <v>26.428571428571399</v>
      </c>
      <c r="I14" s="14">
        <f t="shared" si="0"/>
        <v>14.500000000000004</v>
      </c>
      <c r="J14" s="8">
        <f t="shared" si="1"/>
        <v>23.443571428571801</v>
      </c>
      <c r="K14" s="15">
        <f t="shared" ca="1" si="2"/>
        <v>44782</v>
      </c>
    </row>
    <row r="15" spans="1:11" ht="19.5" hidden="1" thickBot="1" x14ac:dyDescent="0.35">
      <c r="A15" s="1">
        <v>14</v>
      </c>
      <c r="B15" s="2" t="s">
        <v>6</v>
      </c>
      <c r="C15" s="2" t="s">
        <v>13</v>
      </c>
      <c r="D15" s="3" t="s">
        <v>27</v>
      </c>
      <c r="E15" s="4">
        <v>30.357142857143302</v>
      </c>
      <c r="F15" s="14">
        <v>42.428571428571402</v>
      </c>
      <c r="G15" s="5">
        <v>52.8900000000001</v>
      </c>
      <c r="H15" s="14">
        <v>26.857142857142801</v>
      </c>
      <c r="I15" s="14">
        <f t="shared" si="0"/>
        <v>15.571428571428601</v>
      </c>
      <c r="J15" s="8">
        <f t="shared" si="1"/>
        <v>22.532857142856798</v>
      </c>
      <c r="K15" s="15">
        <f t="shared" ca="1" si="2"/>
        <v>44803</v>
      </c>
    </row>
    <row r="16" spans="1:11" ht="19.5" hidden="1" thickBot="1" x14ac:dyDescent="0.35">
      <c r="A16" s="1">
        <v>15</v>
      </c>
      <c r="B16" s="2" t="s">
        <v>2</v>
      </c>
      <c r="C16" s="2" t="s">
        <v>7</v>
      </c>
      <c r="D16" s="3" t="s">
        <v>22</v>
      </c>
      <c r="E16" s="4">
        <v>19.035714285714299</v>
      </c>
      <c r="F16" s="14">
        <v>43.928571428571402</v>
      </c>
      <c r="G16" s="5">
        <v>40.657857142857097</v>
      </c>
      <c r="H16" s="14">
        <v>27.285714285714299</v>
      </c>
      <c r="I16" s="14">
        <f t="shared" si="0"/>
        <v>16.642857142857103</v>
      </c>
      <c r="J16" s="8">
        <f t="shared" si="1"/>
        <v>21.622142857142798</v>
      </c>
      <c r="K16" s="15">
        <f t="shared" ca="1" si="2"/>
        <v>44627</v>
      </c>
    </row>
    <row r="17" spans="1:11" ht="19.5" thickBot="1" x14ac:dyDescent="0.35">
      <c r="A17" s="1">
        <v>16</v>
      </c>
      <c r="B17" s="2" t="s">
        <v>3</v>
      </c>
      <c r="C17" s="2" t="s">
        <v>8</v>
      </c>
      <c r="D17" s="3" t="s">
        <v>23</v>
      </c>
      <c r="E17" s="4">
        <v>7.7142857142852703</v>
      </c>
      <c r="F17" s="14">
        <v>45.428571428571402</v>
      </c>
      <c r="G17" s="5">
        <v>28.425714285714101</v>
      </c>
      <c r="H17" s="14">
        <v>27.714285714285701</v>
      </c>
      <c r="I17" s="14">
        <f t="shared" si="0"/>
        <v>17.714285714285701</v>
      </c>
      <c r="J17" s="8">
        <f t="shared" si="1"/>
        <v>20.711428571428829</v>
      </c>
      <c r="K17" s="15">
        <f t="shared" ca="1" si="2"/>
        <v>44768</v>
      </c>
    </row>
  </sheetData>
  <autoFilter ref="A1:K17" xr:uid="{54FAAFD3-58F5-43DA-87F7-9E14889007A9}">
    <filterColumn colId="5">
      <customFilters>
        <customFilter operator="greaterThanOrEqual" val="25"/>
      </customFilters>
    </filterColumn>
    <filterColumn colId="10">
      <filters>
        <dateGroupItem year="2022" month="1" dateTimeGrouping="month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7B10-602B-40BB-A801-2534862D77AD}">
  <sheetPr filterMode="1"/>
  <dimension ref="A1:K17"/>
  <sheetViews>
    <sheetView workbookViewId="0">
      <selection activeCell="I2" sqref="I2"/>
    </sheetView>
  </sheetViews>
  <sheetFormatPr defaultRowHeight="15" x14ac:dyDescent="0.25"/>
  <cols>
    <col min="1" max="1" width="11.7109375" customWidth="1"/>
    <col min="2" max="2" width="21.7109375" bestFit="1" customWidth="1"/>
    <col min="3" max="3" width="28.5703125" customWidth="1"/>
    <col min="4" max="4" width="15.140625" customWidth="1"/>
    <col min="5" max="5" width="11.7109375" customWidth="1"/>
    <col min="6" max="6" width="17" customWidth="1"/>
    <col min="7" max="7" width="18.28515625" customWidth="1"/>
    <col min="8" max="9" width="16.85546875" customWidth="1"/>
    <col min="10" max="10" width="10.5703125" customWidth="1"/>
    <col min="11" max="11" width="23.28515625" customWidth="1"/>
  </cols>
  <sheetData>
    <row r="1" spans="1:11" ht="57" thickBot="1" x14ac:dyDescent="0.3">
      <c r="A1" s="6" t="s">
        <v>0</v>
      </c>
      <c r="B1" s="6" t="s">
        <v>1</v>
      </c>
      <c r="C1" s="6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29</v>
      </c>
    </row>
    <row r="2" spans="1:11" ht="19.5" thickBot="1" x14ac:dyDescent="0.35">
      <c r="A2" s="1">
        <v>1</v>
      </c>
      <c r="B2" s="2" t="s">
        <v>2</v>
      </c>
      <c r="C2" s="2" t="s">
        <v>7</v>
      </c>
      <c r="D2" s="3" t="s">
        <v>22</v>
      </c>
      <c r="E2" s="4">
        <v>102</v>
      </c>
      <c r="F2" s="14">
        <v>15</v>
      </c>
      <c r="G2" s="5">
        <v>114.99</v>
      </c>
      <c r="H2" s="3">
        <v>15</v>
      </c>
      <c r="I2" s="14">
        <f>F2-H2</f>
        <v>0</v>
      </c>
      <c r="J2" s="8">
        <f>G2-E2</f>
        <v>12.989999999999995</v>
      </c>
      <c r="K2" s="15">
        <f ca="1">DATE(2022,RANDBETWEEN(1,12),RANDBETWEEN(1,31))</f>
        <v>44582</v>
      </c>
    </row>
    <row r="3" spans="1:11" ht="19.5" hidden="1" thickBot="1" x14ac:dyDescent="0.35">
      <c r="A3" s="1">
        <v>2</v>
      </c>
      <c r="B3" s="2" t="s">
        <v>3</v>
      </c>
      <c r="C3" s="2" t="s">
        <v>8</v>
      </c>
      <c r="D3" s="3" t="s">
        <v>23</v>
      </c>
      <c r="E3" s="4">
        <v>80</v>
      </c>
      <c r="F3" s="14">
        <v>32</v>
      </c>
      <c r="G3" s="5">
        <v>91</v>
      </c>
      <c r="H3" s="3">
        <v>30</v>
      </c>
      <c r="I3" s="14">
        <f>F3-H3</f>
        <v>2</v>
      </c>
      <c r="J3" s="8">
        <f>G3-E3</f>
        <v>11</v>
      </c>
      <c r="K3" s="15">
        <f ca="1">DATE(2022,RANDBETWEEN(1,12),RANDBETWEEN(1,31))</f>
        <v>44666</v>
      </c>
    </row>
    <row r="4" spans="1:11" ht="19.5" hidden="1" thickBot="1" x14ac:dyDescent="0.35">
      <c r="A4" s="1">
        <v>3</v>
      </c>
      <c r="B4" s="2" t="s">
        <v>4</v>
      </c>
      <c r="C4" s="2" t="s">
        <v>9</v>
      </c>
      <c r="D4" s="3" t="s">
        <v>24</v>
      </c>
      <c r="E4" s="4">
        <v>365</v>
      </c>
      <c r="F4" s="14">
        <v>40</v>
      </c>
      <c r="G4" s="5">
        <v>451.2</v>
      </c>
      <c r="H4" s="3">
        <v>36</v>
      </c>
      <c r="I4" s="14">
        <f>F4-H4</f>
        <v>4</v>
      </c>
      <c r="J4" s="8">
        <f>G4-E4</f>
        <v>86.199999999999989</v>
      </c>
      <c r="K4" s="15">
        <f ca="1">DATE(2022,RANDBETWEEN(1,12),RANDBETWEEN(1,31))</f>
        <v>44573</v>
      </c>
    </row>
    <row r="5" spans="1:11" ht="19.5" thickBot="1" x14ac:dyDescent="0.35">
      <c r="A5" s="1">
        <v>4</v>
      </c>
      <c r="B5" s="2" t="s">
        <v>4</v>
      </c>
      <c r="C5" s="2" t="s">
        <v>10</v>
      </c>
      <c r="D5" s="3" t="s">
        <v>22</v>
      </c>
      <c r="E5" s="4">
        <v>199</v>
      </c>
      <c r="F5" s="14">
        <v>12</v>
      </c>
      <c r="G5" s="5">
        <v>245.5</v>
      </c>
      <c r="H5" s="3">
        <v>12</v>
      </c>
      <c r="I5" s="14">
        <f>F5-H5</f>
        <v>0</v>
      </c>
      <c r="J5" s="8">
        <f>G5-E5</f>
        <v>46.5</v>
      </c>
      <c r="K5" s="15">
        <f ca="1">DATE(2022,RANDBETWEEN(1,12),RANDBETWEEN(1,31))</f>
        <v>44801</v>
      </c>
    </row>
    <row r="6" spans="1:11" ht="19.5" hidden="1" thickBot="1" x14ac:dyDescent="0.35">
      <c r="A6" s="1">
        <v>5</v>
      </c>
      <c r="B6" s="2" t="s">
        <v>5</v>
      </c>
      <c r="C6" s="2" t="s">
        <v>11</v>
      </c>
      <c r="D6" s="3" t="s">
        <v>25</v>
      </c>
      <c r="E6" s="4">
        <v>69</v>
      </c>
      <c r="F6" s="14">
        <v>32</v>
      </c>
      <c r="G6" s="5">
        <v>89.9</v>
      </c>
      <c r="H6" s="3">
        <v>11</v>
      </c>
      <c r="I6" s="14">
        <f>F6-H6</f>
        <v>21</v>
      </c>
      <c r="J6" s="8">
        <f>G6-E6</f>
        <v>20.900000000000006</v>
      </c>
      <c r="K6" s="15">
        <f ca="1">DATE(2022,RANDBETWEEN(1,12),RANDBETWEEN(1,31))</f>
        <v>44777</v>
      </c>
    </row>
    <row r="7" spans="1:11" ht="19.5" hidden="1" thickBot="1" x14ac:dyDescent="0.35">
      <c r="A7" s="1">
        <v>6</v>
      </c>
      <c r="B7" s="2" t="s">
        <v>2</v>
      </c>
      <c r="C7" s="2" t="s">
        <v>12</v>
      </c>
      <c r="D7" s="3" t="s">
        <v>26</v>
      </c>
      <c r="E7" s="4">
        <v>125</v>
      </c>
      <c r="F7" s="14">
        <v>24</v>
      </c>
      <c r="G7" s="5">
        <v>155.9</v>
      </c>
      <c r="H7" s="3">
        <v>20</v>
      </c>
      <c r="I7" s="14">
        <f>F7-H7</f>
        <v>4</v>
      </c>
      <c r="J7" s="8">
        <f>G7-E7</f>
        <v>30.900000000000006</v>
      </c>
      <c r="K7" s="15">
        <f ca="1">DATE(2022,RANDBETWEEN(1,12),RANDBETWEEN(1,31))</f>
        <v>44576</v>
      </c>
    </row>
    <row r="8" spans="1:11" ht="19.5" hidden="1" thickBot="1" x14ac:dyDescent="0.35">
      <c r="A8" s="1">
        <v>7</v>
      </c>
      <c r="B8" s="2" t="s">
        <v>6</v>
      </c>
      <c r="C8" s="2" t="s">
        <v>13</v>
      </c>
      <c r="D8" s="3" t="s">
        <v>27</v>
      </c>
      <c r="E8" s="4">
        <v>65</v>
      </c>
      <c r="F8" s="14">
        <v>37</v>
      </c>
      <c r="G8" s="5">
        <v>77.989999999999995</v>
      </c>
      <c r="H8" s="3">
        <v>34</v>
      </c>
      <c r="I8" s="14">
        <f>F8-H8</f>
        <v>3</v>
      </c>
      <c r="J8" s="8">
        <f>G8-E8</f>
        <v>12.989999999999995</v>
      </c>
      <c r="K8" s="15">
        <f ca="1">DATE(2022,RANDBETWEEN(1,12),RANDBETWEEN(1,31))</f>
        <v>44730</v>
      </c>
    </row>
    <row r="9" spans="1:11" ht="19.5" hidden="1" thickBot="1" x14ac:dyDescent="0.35">
      <c r="A9" s="1">
        <v>8</v>
      </c>
      <c r="B9" s="2" t="s">
        <v>2</v>
      </c>
      <c r="C9" s="2" t="s">
        <v>7</v>
      </c>
      <c r="D9" s="3" t="s">
        <v>22</v>
      </c>
      <c r="E9" s="4">
        <v>98.285714285714306</v>
      </c>
      <c r="F9" s="14">
        <v>33.428571428571402</v>
      </c>
      <c r="G9" s="5">
        <v>126.282857142857</v>
      </c>
      <c r="H9" s="14">
        <v>24.285714285714299</v>
      </c>
      <c r="I9" s="14">
        <f>F9-H9</f>
        <v>9.1428571428571033</v>
      </c>
      <c r="J9" s="8">
        <f>G9-E9</f>
        <v>27.997142857142691</v>
      </c>
      <c r="K9" s="15">
        <f ca="1">DATE(2022,RANDBETWEEN(1,12),RANDBETWEEN(1,31))</f>
        <v>44907</v>
      </c>
    </row>
    <row r="10" spans="1:11" ht="19.5" hidden="1" thickBot="1" x14ac:dyDescent="0.35">
      <c r="A10" s="1">
        <v>9</v>
      </c>
      <c r="B10" s="2" t="s">
        <v>3</v>
      </c>
      <c r="C10" s="2" t="s">
        <v>8</v>
      </c>
      <c r="D10" s="3" t="s">
        <v>23</v>
      </c>
      <c r="E10" s="4">
        <v>86.964285714285694</v>
      </c>
      <c r="F10" s="14">
        <v>34.928571428571402</v>
      </c>
      <c r="G10" s="5">
        <v>114.05071428571399</v>
      </c>
      <c r="H10" s="14">
        <v>24.714285714285701</v>
      </c>
      <c r="I10" s="14">
        <f>F10-H10</f>
        <v>10.214285714285701</v>
      </c>
      <c r="J10" s="8">
        <f>G10-E10</f>
        <v>27.0864285714283</v>
      </c>
      <c r="K10" s="15">
        <f ca="1">DATE(2022,RANDBETWEEN(1,12),RANDBETWEEN(1,31))</f>
        <v>44672</v>
      </c>
    </row>
    <row r="11" spans="1:11" ht="19.5" hidden="1" thickBot="1" x14ac:dyDescent="0.35">
      <c r="A11" s="1">
        <v>10</v>
      </c>
      <c r="B11" s="2" t="s">
        <v>4</v>
      </c>
      <c r="C11" s="2" t="s">
        <v>9</v>
      </c>
      <c r="D11" s="3" t="s">
        <v>24</v>
      </c>
      <c r="E11" s="4">
        <v>75.642857142857295</v>
      </c>
      <c r="F11" s="14">
        <v>36.428571428571402</v>
      </c>
      <c r="G11" s="5">
        <v>101.818571428571</v>
      </c>
      <c r="H11" s="14">
        <v>25.1428571428571</v>
      </c>
      <c r="I11" s="14">
        <f>F11-H11</f>
        <v>11.285714285714302</v>
      </c>
      <c r="J11" s="8">
        <f>G11-E11</f>
        <v>26.17571428571371</v>
      </c>
      <c r="K11" s="15">
        <f ca="1">DATE(2022,RANDBETWEEN(1,12),RANDBETWEEN(1,31))</f>
        <v>44823</v>
      </c>
    </row>
    <row r="12" spans="1:11" ht="19.5" hidden="1" thickBot="1" x14ac:dyDescent="0.35">
      <c r="A12" s="1">
        <v>11</v>
      </c>
      <c r="B12" s="2" t="s">
        <v>4</v>
      </c>
      <c r="C12" s="2" t="s">
        <v>10</v>
      </c>
      <c r="D12" s="3" t="s">
        <v>22</v>
      </c>
      <c r="E12" s="4">
        <v>64.321428571428299</v>
      </c>
      <c r="F12" s="14">
        <v>37.928571428571402</v>
      </c>
      <c r="G12" s="5">
        <v>89.586428571428101</v>
      </c>
      <c r="H12" s="14">
        <v>25.571428571428601</v>
      </c>
      <c r="I12" s="14">
        <f>F12-H12</f>
        <v>12.357142857142801</v>
      </c>
      <c r="J12" s="8">
        <f>G12-E12</f>
        <v>25.264999999999802</v>
      </c>
      <c r="K12" s="15">
        <f ca="1">DATE(2022,RANDBETWEEN(1,12),RANDBETWEEN(1,31))</f>
        <v>44878</v>
      </c>
    </row>
    <row r="13" spans="1:11" ht="19.5" hidden="1" thickBot="1" x14ac:dyDescent="0.35">
      <c r="A13" s="1">
        <v>12</v>
      </c>
      <c r="B13" s="2" t="s">
        <v>5</v>
      </c>
      <c r="C13" s="2" t="s">
        <v>11</v>
      </c>
      <c r="D13" s="3" t="s">
        <v>25</v>
      </c>
      <c r="E13" s="4">
        <v>53.000000000000298</v>
      </c>
      <c r="F13" s="14">
        <v>39.428571428571402</v>
      </c>
      <c r="G13" s="5">
        <v>77.354285714286107</v>
      </c>
      <c r="H13" s="14">
        <v>26</v>
      </c>
      <c r="I13" s="14">
        <f>F13-H13</f>
        <v>13.428571428571402</v>
      </c>
      <c r="J13" s="8">
        <f>G13-E13</f>
        <v>24.354285714285808</v>
      </c>
      <c r="K13" s="15">
        <f ca="1">DATE(2022,RANDBETWEEN(1,12),RANDBETWEEN(1,31))</f>
        <v>44751</v>
      </c>
    </row>
    <row r="14" spans="1:11" ht="19.5" hidden="1" thickBot="1" x14ac:dyDescent="0.35">
      <c r="A14" s="1">
        <v>13</v>
      </c>
      <c r="B14" s="2" t="s">
        <v>2</v>
      </c>
      <c r="C14" s="2" t="s">
        <v>12</v>
      </c>
      <c r="D14" s="3" t="s">
        <v>28</v>
      </c>
      <c r="E14" s="4">
        <v>41.678571428571303</v>
      </c>
      <c r="F14" s="14">
        <v>40.928571428571402</v>
      </c>
      <c r="G14" s="5">
        <v>65.122142857143103</v>
      </c>
      <c r="H14" s="14">
        <v>26.428571428571399</v>
      </c>
      <c r="I14" s="14">
        <f>F14-H14</f>
        <v>14.500000000000004</v>
      </c>
      <c r="J14" s="8">
        <f>G14-E14</f>
        <v>23.443571428571801</v>
      </c>
      <c r="K14" s="15">
        <f ca="1">DATE(2022,RANDBETWEEN(1,12),RANDBETWEEN(1,31))</f>
        <v>44771</v>
      </c>
    </row>
    <row r="15" spans="1:11" ht="19.5" hidden="1" thickBot="1" x14ac:dyDescent="0.35">
      <c r="A15" s="1">
        <v>14</v>
      </c>
      <c r="B15" s="2" t="s">
        <v>6</v>
      </c>
      <c r="C15" s="2" t="s">
        <v>13</v>
      </c>
      <c r="D15" s="3" t="s">
        <v>27</v>
      </c>
      <c r="E15" s="4">
        <v>30.357142857143302</v>
      </c>
      <c r="F15" s="14">
        <v>42.428571428571402</v>
      </c>
      <c r="G15" s="5">
        <v>52.8900000000001</v>
      </c>
      <c r="H15" s="14">
        <v>26.857142857142801</v>
      </c>
      <c r="I15" s="14">
        <f>F15-H15</f>
        <v>15.571428571428601</v>
      </c>
      <c r="J15" s="8">
        <f>G15-E15</f>
        <v>22.532857142856798</v>
      </c>
      <c r="K15" s="15">
        <f ca="1">DATE(2022,RANDBETWEEN(1,12),RANDBETWEEN(1,31))</f>
        <v>44918</v>
      </c>
    </row>
    <row r="16" spans="1:11" ht="19.5" hidden="1" thickBot="1" x14ac:dyDescent="0.35">
      <c r="A16" s="1">
        <v>15</v>
      </c>
      <c r="B16" s="2" t="s">
        <v>2</v>
      </c>
      <c r="C16" s="2" t="s">
        <v>7</v>
      </c>
      <c r="D16" s="3" t="s">
        <v>22</v>
      </c>
      <c r="E16" s="4">
        <v>19.035714285714299</v>
      </c>
      <c r="F16" s="14">
        <v>43.928571428571402</v>
      </c>
      <c r="G16" s="5">
        <v>40.657857142857097</v>
      </c>
      <c r="H16" s="14">
        <v>27.285714285714299</v>
      </c>
      <c r="I16" s="14">
        <f>F16-H16</f>
        <v>16.642857142857103</v>
      </c>
      <c r="J16" s="8">
        <f>G16-E16</f>
        <v>21.622142857142798</v>
      </c>
      <c r="K16" s="15">
        <f ca="1">DATE(2022,RANDBETWEEN(1,12),RANDBETWEEN(1,31))</f>
        <v>44849</v>
      </c>
    </row>
    <row r="17" spans="1:11" ht="19.5" hidden="1" thickBot="1" x14ac:dyDescent="0.35">
      <c r="A17" s="1">
        <v>16</v>
      </c>
      <c r="B17" s="2" t="s">
        <v>3</v>
      </c>
      <c r="C17" s="2" t="s">
        <v>8</v>
      </c>
      <c r="D17" s="3" t="s">
        <v>23</v>
      </c>
      <c r="E17" s="4">
        <v>7.7142857142852703</v>
      </c>
      <c r="F17" s="14">
        <v>45.428571428571402</v>
      </c>
      <c r="G17" s="5">
        <v>28.425714285714101</v>
      </c>
      <c r="H17" s="14">
        <v>27.714285714285701</v>
      </c>
      <c r="I17" s="14">
        <f>F17-H17</f>
        <v>17.714285714285701</v>
      </c>
      <c r="J17" s="8">
        <f>G17-E17</f>
        <v>20.711428571428829</v>
      </c>
      <c r="K17" s="15">
        <f ca="1">DATE(2022,RANDBETWEEN(1,12),RANDBETWEEN(1,31))</f>
        <v>44917</v>
      </c>
    </row>
  </sheetData>
  <autoFilter ref="A1:K17" xr:uid="{2DD07B10-602B-40BB-A801-2534862D77AD}">
    <filterColumn colId="8">
      <filters>
        <filter val="0"/>
      </filters>
    </filterColumn>
  </autoFilter>
  <sortState xmlns:xlrd2="http://schemas.microsoft.com/office/spreadsheetml/2017/richdata2" ref="A2:K17">
    <sortCondition ref="A2:A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2D32-00F1-49B3-9ABB-2F0EAD3D7394}">
  <sheetPr filterMode="1"/>
  <dimension ref="A1:K17"/>
  <sheetViews>
    <sheetView workbookViewId="0">
      <selection activeCell="E10" sqref="E10"/>
    </sheetView>
  </sheetViews>
  <sheetFormatPr defaultRowHeight="15" x14ac:dyDescent="0.25"/>
  <cols>
    <col min="1" max="1" width="11.7109375" customWidth="1"/>
    <col min="2" max="2" width="21.7109375" bestFit="1" customWidth="1"/>
    <col min="3" max="3" width="28.5703125" customWidth="1"/>
    <col min="4" max="4" width="15.140625" customWidth="1"/>
    <col min="5" max="5" width="11.7109375" customWidth="1"/>
    <col min="6" max="6" width="17" customWidth="1"/>
    <col min="7" max="7" width="18.28515625" customWidth="1"/>
    <col min="8" max="9" width="16.85546875" customWidth="1"/>
    <col min="10" max="10" width="12" customWidth="1"/>
    <col min="11" max="11" width="23.28515625" customWidth="1"/>
  </cols>
  <sheetData>
    <row r="1" spans="1:11" ht="57" thickBot="1" x14ac:dyDescent="0.3">
      <c r="A1" s="6" t="s">
        <v>0</v>
      </c>
      <c r="B1" s="6" t="s">
        <v>1</v>
      </c>
      <c r="C1" s="6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29</v>
      </c>
    </row>
    <row r="2" spans="1:11" ht="19.5" thickBot="1" x14ac:dyDescent="0.35">
      <c r="A2" s="1">
        <v>4</v>
      </c>
      <c r="B2" s="2" t="s">
        <v>4</v>
      </c>
      <c r="C2" s="2" t="s">
        <v>10</v>
      </c>
      <c r="D2" s="3" t="s">
        <v>22</v>
      </c>
      <c r="E2" s="4">
        <v>199</v>
      </c>
      <c r="F2" s="14">
        <v>12</v>
      </c>
      <c r="G2" s="5">
        <v>245.5</v>
      </c>
      <c r="H2" s="3">
        <v>12</v>
      </c>
      <c r="I2" s="14">
        <f>F2-H2</f>
        <v>0</v>
      </c>
      <c r="J2" s="8">
        <f>G2-E2</f>
        <v>46.5</v>
      </c>
      <c r="K2" s="15">
        <f ca="1">DATE(2022,RANDBETWEEN(1,12),RANDBETWEEN(1,31))</f>
        <v>44887</v>
      </c>
    </row>
    <row r="3" spans="1:11" ht="19.5" thickBot="1" x14ac:dyDescent="0.35">
      <c r="A3" s="1">
        <v>11</v>
      </c>
      <c r="B3" s="2" t="s">
        <v>4</v>
      </c>
      <c r="C3" s="2" t="s">
        <v>10</v>
      </c>
      <c r="D3" s="3" t="s">
        <v>22</v>
      </c>
      <c r="E3" s="4">
        <v>64.321428571428299</v>
      </c>
      <c r="F3" s="14">
        <v>37.928571428571402</v>
      </c>
      <c r="G3" s="5">
        <v>89.586428571428101</v>
      </c>
      <c r="H3" s="14">
        <v>25.571428571428601</v>
      </c>
      <c r="I3" s="14">
        <f>F3-H3</f>
        <v>12.357142857142801</v>
      </c>
      <c r="J3" s="8">
        <f>G3-E3</f>
        <v>25.264999999999802</v>
      </c>
      <c r="K3" s="15">
        <f ca="1">DATE(2022,RANDBETWEEN(1,12),RANDBETWEEN(1,31))</f>
        <v>44702</v>
      </c>
    </row>
    <row r="4" spans="1:11" ht="19.5" thickBot="1" x14ac:dyDescent="0.35">
      <c r="A4" s="1">
        <v>6</v>
      </c>
      <c r="B4" s="2" t="s">
        <v>2</v>
      </c>
      <c r="C4" s="2" t="s">
        <v>12</v>
      </c>
      <c r="D4" s="3" t="s">
        <v>26</v>
      </c>
      <c r="E4" s="4">
        <v>125</v>
      </c>
      <c r="F4" s="14">
        <v>24</v>
      </c>
      <c r="G4" s="5">
        <v>155.9</v>
      </c>
      <c r="H4" s="3">
        <v>20</v>
      </c>
      <c r="I4" s="14">
        <f>F4-H4</f>
        <v>4</v>
      </c>
      <c r="J4" s="8">
        <f>G4-E4</f>
        <v>30.900000000000006</v>
      </c>
      <c r="K4" s="15">
        <f ca="1">DATE(2022,RANDBETWEEN(1,12),RANDBETWEEN(1,31))</f>
        <v>44734</v>
      </c>
    </row>
    <row r="5" spans="1:11" ht="19.5" thickBot="1" x14ac:dyDescent="0.35">
      <c r="A5" s="1">
        <v>13</v>
      </c>
      <c r="B5" s="2" t="s">
        <v>2</v>
      </c>
      <c r="C5" s="2" t="s">
        <v>12</v>
      </c>
      <c r="D5" s="3" t="s">
        <v>28</v>
      </c>
      <c r="E5" s="4">
        <v>41.678571428571303</v>
      </c>
      <c r="F5" s="14">
        <v>40.928571428571402</v>
      </c>
      <c r="G5" s="5">
        <v>65.122142857143103</v>
      </c>
      <c r="H5" s="14">
        <v>26.428571428571399</v>
      </c>
      <c r="I5" s="14">
        <f>F5-H5</f>
        <v>14.500000000000004</v>
      </c>
      <c r="J5" s="8">
        <f>G5-E5</f>
        <v>23.443571428571801</v>
      </c>
      <c r="K5" s="15">
        <f ca="1">DATE(2022,RANDBETWEEN(1,12),RANDBETWEEN(1,31))</f>
        <v>44886</v>
      </c>
    </row>
    <row r="6" spans="1:11" ht="19.5" thickBot="1" x14ac:dyDescent="0.35">
      <c r="A6" s="1">
        <v>5</v>
      </c>
      <c r="B6" s="2" t="s">
        <v>5</v>
      </c>
      <c r="C6" s="2" t="s">
        <v>11</v>
      </c>
      <c r="D6" s="3" t="s">
        <v>25</v>
      </c>
      <c r="E6" s="4">
        <v>69</v>
      </c>
      <c r="F6" s="14">
        <v>32</v>
      </c>
      <c r="G6" s="5">
        <v>89.9</v>
      </c>
      <c r="H6" s="3">
        <v>11</v>
      </c>
      <c r="I6" s="14">
        <f>F6-H6</f>
        <v>21</v>
      </c>
      <c r="J6" s="8">
        <f>G6-E6</f>
        <v>20.900000000000006</v>
      </c>
      <c r="K6" s="15">
        <f ca="1">DATE(2022,RANDBETWEEN(1,12),RANDBETWEEN(1,31))</f>
        <v>44587</v>
      </c>
    </row>
    <row r="7" spans="1:11" ht="19.5" thickBot="1" x14ac:dyDescent="0.35">
      <c r="A7" s="1">
        <v>12</v>
      </c>
      <c r="B7" s="2" t="s">
        <v>5</v>
      </c>
      <c r="C7" s="2" t="s">
        <v>11</v>
      </c>
      <c r="D7" s="3" t="s">
        <v>25</v>
      </c>
      <c r="E7" s="4">
        <v>53.000000000000298</v>
      </c>
      <c r="F7" s="14">
        <v>39.428571428571402</v>
      </c>
      <c r="G7" s="5">
        <v>77.354285714286107</v>
      </c>
      <c r="H7" s="14">
        <v>26</v>
      </c>
      <c r="I7" s="14">
        <f>F7-H7</f>
        <v>13.428571428571402</v>
      </c>
      <c r="J7" s="8">
        <f>G7-E7</f>
        <v>24.354285714285808</v>
      </c>
      <c r="K7" s="15">
        <f ca="1">DATE(2022,RANDBETWEEN(1,12),RANDBETWEEN(1,31))</f>
        <v>44902</v>
      </c>
    </row>
    <row r="8" spans="1:11" ht="19.5" thickBot="1" x14ac:dyDescent="0.35">
      <c r="A8" s="1">
        <v>2</v>
      </c>
      <c r="B8" s="2" t="s">
        <v>3</v>
      </c>
      <c r="C8" s="2" t="s">
        <v>8</v>
      </c>
      <c r="D8" s="3" t="s">
        <v>23</v>
      </c>
      <c r="E8" s="4">
        <v>80</v>
      </c>
      <c r="F8" s="14">
        <v>32</v>
      </c>
      <c r="G8" s="5">
        <v>91</v>
      </c>
      <c r="H8" s="3">
        <v>30</v>
      </c>
      <c r="I8" s="14">
        <f>F8-H8</f>
        <v>2</v>
      </c>
      <c r="J8" s="8">
        <f>G8-E8</f>
        <v>11</v>
      </c>
      <c r="K8" s="15">
        <f ca="1">DATE(2022,RANDBETWEEN(1,12),RANDBETWEEN(1,31))</f>
        <v>44700</v>
      </c>
    </row>
    <row r="9" spans="1:11" ht="19.5" thickBot="1" x14ac:dyDescent="0.35">
      <c r="A9" s="1">
        <v>9</v>
      </c>
      <c r="B9" s="2" t="s">
        <v>3</v>
      </c>
      <c r="C9" s="2" t="s">
        <v>8</v>
      </c>
      <c r="D9" s="3" t="s">
        <v>23</v>
      </c>
      <c r="E9" s="4">
        <v>86.964285714285694</v>
      </c>
      <c r="F9" s="14">
        <v>34.928571428571402</v>
      </c>
      <c r="G9" s="5">
        <v>114.05071428571399</v>
      </c>
      <c r="H9" s="14">
        <v>24.714285714285701</v>
      </c>
      <c r="I9" s="14">
        <f>F9-H9</f>
        <v>10.214285714285701</v>
      </c>
      <c r="J9" s="8">
        <f>G9-E9</f>
        <v>27.0864285714283</v>
      </c>
      <c r="K9" s="15">
        <f ca="1">DATE(2022,RANDBETWEEN(1,12),RANDBETWEEN(1,31))</f>
        <v>44762</v>
      </c>
    </row>
    <row r="10" spans="1:11" ht="19.5" thickBot="1" x14ac:dyDescent="0.35">
      <c r="A10" s="1">
        <v>16</v>
      </c>
      <c r="B10" s="2" t="s">
        <v>3</v>
      </c>
      <c r="C10" s="2" t="s">
        <v>8</v>
      </c>
      <c r="D10" s="3" t="s">
        <v>23</v>
      </c>
      <c r="E10" s="4">
        <v>7.7142857142852703</v>
      </c>
      <c r="F10" s="14">
        <v>45.428571428571402</v>
      </c>
      <c r="G10" s="5">
        <v>28.425714285714101</v>
      </c>
      <c r="H10" s="14">
        <v>27.714285714285701</v>
      </c>
      <c r="I10" s="14">
        <f>F10-H10</f>
        <v>17.714285714285701</v>
      </c>
      <c r="J10" s="8">
        <f>G10-E10</f>
        <v>20.711428571428829</v>
      </c>
      <c r="K10" s="15">
        <f ca="1">DATE(2022,RANDBETWEEN(1,12),RANDBETWEEN(1,31))</f>
        <v>44904</v>
      </c>
    </row>
    <row r="11" spans="1:11" ht="19.5" thickBot="1" x14ac:dyDescent="0.35">
      <c r="A11" s="1">
        <v>3</v>
      </c>
      <c r="B11" s="2" t="s">
        <v>4</v>
      </c>
      <c r="C11" s="2" t="s">
        <v>9</v>
      </c>
      <c r="D11" s="3" t="s">
        <v>24</v>
      </c>
      <c r="E11" s="4">
        <v>365</v>
      </c>
      <c r="F11" s="14">
        <v>40</v>
      </c>
      <c r="G11" s="5">
        <v>451.2</v>
      </c>
      <c r="H11" s="3">
        <v>36</v>
      </c>
      <c r="I11" s="14">
        <f>F11-H11</f>
        <v>4</v>
      </c>
      <c r="J11" s="8">
        <f>G11-E11</f>
        <v>86.199999999999989</v>
      </c>
      <c r="K11" s="15">
        <f ca="1">DATE(2022,RANDBETWEEN(1,12),RANDBETWEEN(1,31))</f>
        <v>44913</v>
      </c>
    </row>
    <row r="12" spans="1:11" ht="19.5" thickBot="1" x14ac:dyDescent="0.35">
      <c r="A12" s="1">
        <v>10</v>
      </c>
      <c r="B12" s="2" t="s">
        <v>4</v>
      </c>
      <c r="C12" s="2" t="s">
        <v>9</v>
      </c>
      <c r="D12" s="3" t="s">
        <v>24</v>
      </c>
      <c r="E12" s="4">
        <v>75.642857142857295</v>
      </c>
      <c r="F12" s="14">
        <v>36.428571428571402</v>
      </c>
      <c r="G12" s="5">
        <v>101.818571428571</v>
      </c>
      <c r="H12" s="14">
        <v>25.1428571428571</v>
      </c>
      <c r="I12" s="14">
        <f>F12-H12</f>
        <v>11.285714285714302</v>
      </c>
      <c r="J12" s="8">
        <f>G12-E12</f>
        <v>26.17571428571371</v>
      </c>
      <c r="K12" s="15">
        <f ca="1">DATE(2022,RANDBETWEEN(1,12),RANDBETWEEN(1,31))</f>
        <v>44855</v>
      </c>
    </row>
    <row r="13" spans="1:11" ht="19.5" thickBot="1" x14ac:dyDescent="0.35">
      <c r="A13" s="1">
        <v>1</v>
      </c>
      <c r="B13" s="2" t="s">
        <v>2</v>
      </c>
      <c r="C13" s="2" t="s">
        <v>7</v>
      </c>
      <c r="D13" s="3" t="s">
        <v>22</v>
      </c>
      <c r="E13" s="4">
        <v>102</v>
      </c>
      <c r="F13" s="14">
        <v>15</v>
      </c>
      <c r="G13" s="5">
        <v>114.99</v>
      </c>
      <c r="H13" s="3">
        <v>15</v>
      </c>
      <c r="I13" s="14">
        <f>F13-H13</f>
        <v>0</v>
      </c>
      <c r="J13" s="8">
        <f>G13-E13</f>
        <v>12.989999999999995</v>
      </c>
      <c r="K13" s="15">
        <f ca="1">DATE(2022,RANDBETWEEN(1,12),RANDBETWEEN(1,31))</f>
        <v>44721</v>
      </c>
    </row>
    <row r="14" spans="1:11" ht="19.5" thickBot="1" x14ac:dyDescent="0.35">
      <c r="A14" s="1">
        <v>8</v>
      </c>
      <c r="B14" s="2" t="s">
        <v>2</v>
      </c>
      <c r="C14" s="2" t="s">
        <v>7</v>
      </c>
      <c r="D14" s="3" t="s">
        <v>22</v>
      </c>
      <c r="E14" s="4">
        <v>98.285714285714306</v>
      </c>
      <c r="F14" s="14">
        <v>33.428571428571402</v>
      </c>
      <c r="G14" s="5">
        <v>126.282857142857</v>
      </c>
      <c r="H14" s="14">
        <v>24.285714285714299</v>
      </c>
      <c r="I14" s="14">
        <f>F14-H14</f>
        <v>9.1428571428571033</v>
      </c>
      <c r="J14" s="8">
        <f>G14-E14</f>
        <v>27.997142857142691</v>
      </c>
      <c r="K14" s="15">
        <f ca="1">DATE(2022,RANDBETWEEN(1,12),RANDBETWEEN(1,31))</f>
        <v>44778</v>
      </c>
    </row>
    <row r="15" spans="1:11" ht="19.5" thickBot="1" x14ac:dyDescent="0.35">
      <c r="A15" s="1">
        <v>15</v>
      </c>
      <c r="B15" s="2" t="s">
        <v>2</v>
      </c>
      <c r="C15" s="2" t="s">
        <v>7</v>
      </c>
      <c r="D15" s="3" t="s">
        <v>22</v>
      </c>
      <c r="E15" s="4">
        <v>19.035714285714299</v>
      </c>
      <c r="F15" s="14">
        <v>43.928571428571402</v>
      </c>
      <c r="G15" s="5">
        <v>40.657857142857097</v>
      </c>
      <c r="H15" s="14">
        <v>27.285714285714299</v>
      </c>
      <c r="I15" s="14">
        <f>F15-H15</f>
        <v>16.642857142857103</v>
      </c>
      <c r="J15" s="8">
        <f>G15-E15</f>
        <v>21.622142857142798</v>
      </c>
      <c r="K15" s="15">
        <f ca="1">DATE(2022,RANDBETWEEN(1,12),RANDBETWEEN(1,31))</f>
        <v>44862</v>
      </c>
    </row>
    <row r="16" spans="1:11" ht="19.5" thickBot="1" x14ac:dyDescent="0.35">
      <c r="A16" s="1">
        <v>7</v>
      </c>
      <c r="B16" s="2" t="s">
        <v>6</v>
      </c>
      <c r="C16" s="2" t="s">
        <v>13</v>
      </c>
      <c r="D16" s="3" t="s">
        <v>27</v>
      </c>
      <c r="E16" s="4">
        <v>65</v>
      </c>
      <c r="F16" s="14">
        <v>37</v>
      </c>
      <c r="G16" s="5">
        <v>77.989999999999995</v>
      </c>
      <c r="H16" s="3">
        <v>34</v>
      </c>
      <c r="I16" s="14">
        <f>F16-H16</f>
        <v>3</v>
      </c>
      <c r="J16" s="8">
        <f>G16-E16</f>
        <v>12.989999999999995</v>
      </c>
      <c r="K16" s="15">
        <f ca="1">DATE(2022,RANDBETWEEN(1,12),RANDBETWEEN(1,31))</f>
        <v>44834</v>
      </c>
    </row>
    <row r="17" spans="1:11" ht="19.5" thickBot="1" x14ac:dyDescent="0.35">
      <c r="A17" s="1">
        <v>14</v>
      </c>
      <c r="B17" s="2" t="s">
        <v>6</v>
      </c>
      <c r="C17" s="2" t="s">
        <v>13</v>
      </c>
      <c r="D17" s="3" t="s">
        <v>27</v>
      </c>
      <c r="E17" s="4">
        <v>30.357142857143302</v>
      </c>
      <c r="F17" s="14">
        <v>42.428571428571402</v>
      </c>
      <c r="G17" s="5">
        <v>52.8900000000001</v>
      </c>
      <c r="H17" s="14">
        <v>26.857142857142801</v>
      </c>
      <c r="I17" s="14">
        <f>F17-H17</f>
        <v>15.571428571428601</v>
      </c>
      <c r="J17" s="8">
        <f>G17-E17</f>
        <v>22.532857142856798</v>
      </c>
      <c r="K17" s="15">
        <f ca="1">DATE(2022,RANDBETWEEN(1,12),RANDBETWEEN(1,31))</f>
        <v>44888</v>
      </c>
    </row>
  </sheetData>
  <autoFilter ref="A1:K17" xr:uid="{AD9E2D32-00F1-49B3-9ABB-2F0EAD3D7394}">
    <filterColumn colId="9">
      <customFilters>
        <customFilter operator="lessThan" val="500"/>
      </customFilters>
    </filterColumn>
  </autoFilter>
  <sortState xmlns:xlrd2="http://schemas.microsoft.com/office/spreadsheetml/2017/richdata2" ref="A2:K17">
    <sortCondition descending="1" ref="C2:C1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CC9B-83FB-47AA-8098-BA1946444159}">
  <sheetPr filterMode="1"/>
  <dimension ref="A1:K17"/>
  <sheetViews>
    <sheetView workbookViewId="0">
      <selection activeCell="J17" sqref="J17"/>
    </sheetView>
  </sheetViews>
  <sheetFormatPr defaultRowHeight="15" x14ac:dyDescent="0.25"/>
  <cols>
    <col min="1" max="1" width="11.7109375" customWidth="1"/>
    <col min="2" max="2" width="21.7109375" bestFit="1" customWidth="1"/>
    <col min="3" max="3" width="28.5703125" customWidth="1"/>
    <col min="4" max="4" width="15.140625" customWidth="1"/>
    <col min="5" max="5" width="11.7109375" customWidth="1"/>
    <col min="6" max="6" width="17" customWidth="1"/>
    <col min="7" max="7" width="18.28515625" customWidth="1"/>
    <col min="8" max="9" width="16.85546875" customWidth="1"/>
    <col min="10" max="10" width="10.5703125" customWidth="1"/>
    <col min="11" max="11" width="23.28515625" customWidth="1"/>
  </cols>
  <sheetData>
    <row r="1" spans="1:11" ht="57" thickBot="1" x14ac:dyDescent="0.3">
      <c r="A1" s="6" t="s">
        <v>0</v>
      </c>
      <c r="B1" s="6" t="s">
        <v>1</v>
      </c>
      <c r="C1" s="6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29</v>
      </c>
    </row>
    <row r="2" spans="1:11" ht="19.5" hidden="1" thickBot="1" x14ac:dyDescent="0.35">
      <c r="A2" s="1">
        <v>1</v>
      </c>
      <c r="B2" s="2" t="s">
        <v>2</v>
      </c>
      <c r="C2" s="2" t="s">
        <v>7</v>
      </c>
      <c r="D2" s="3" t="s">
        <v>22</v>
      </c>
      <c r="E2" s="4">
        <v>102</v>
      </c>
      <c r="F2" s="14">
        <v>15</v>
      </c>
      <c r="G2" s="5">
        <v>114.99</v>
      </c>
      <c r="H2" s="3">
        <v>15</v>
      </c>
      <c r="I2" s="14">
        <f>F2-H2</f>
        <v>0</v>
      </c>
      <c r="J2" s="8">
        <f>G2-E2</f>
        <v>12.989999999999995</v>
      </c>
      <c r="K2" s="15">
        <f ca="1">DATE(2022,RANDBETWEEN(1,12),RANDBETWEEN(1,31))</f>
        <v>44881</v>
      </c>
    </row>
    <row r="3" spans="1:11" ht="19.5" hidden="1" thickBot="1" x14ac:dyDescent="0.35">
      <c r="A3" s="1">
        <v>2</v>
      </c>
      <c r="B3" s="2" t="s">
        <v>3</v>
      </c>
      <c r="C3" s="2" t="s">
        <v>8</v>
      </c>
      <c r="D3" s="3" t="s">
        <v>23</v>
      </c>
      <c r="E3" s="4">
        <v>80</v>
      </c>
      <c r="F3" s="14">
        <v>32</v>
      </c>
      <c r="G3" s="5">
        <v>91</v>
      </c>
      <c r="H3" s="3">
        <v>30</v>
      </c>
      <c r="I3" s="14">
        <f t="shared" ref="I3:I17" si="0">F3-H3</f>
        <v>2</v>
      </c>
      <c r="J3" s="8">
        <f t="shared" ref="J3:J17" si="1">G3-E3</f>
        <v>11</v>
      </c>
      <c r="K3" s="15">
        <f t="shared" ref="K3:K17" ca="1" si="2">DATE(2022,RANDBETWEEN(1,12),RANDBETWEEN(1,31))</f>
        <v>44857</v>
      </c>
    </row>
    <row r="4" spans="1:11" ht="19.5" hidden="1" thickBot="1" x14ac:dyDescent="0.35">
      <c r="A4" s="1">
        <v>3</v>
      </c>
      <c r="B4" s="2" t="s">
        <v>4</v>
      </c>
      <c r="C4" s="2" t="s">
        <v>9</v>
      </c>
      <c r="D4" s="3" t="s">
        <v>24</v>
      </c>
      <c r="E4" s="4">
        <v>365</v>
      </c>
      <c r="F4" s="14">
        <v>40</v>
      </c>
      <c r="G4" s="5">
        <v>451.2</v>
      </c>
      <c r="H4" s="3">
        <v>36</v>
      </c>
      <c r="I4" s="14">
        <f t="shared" si="0"/>
        <v>4</v>
      </c>
      <c r="J4" s="8">
        <f t="shared" si="1"/>
        <v>86.199999999999989</v>
      </c>
      <c r="K4" s="15">
        <f t="shared" ca="1" si="2"/>
        <v>44812</v>
      </c>
    </row>
    <row r="5" spans="1:11" ht="19.5" hidden="1" thickBot="1" x14ac:dyDescent="0.35">
      <c r="A5" s="1">
        <v>4</v>
      </c>
      <c r="B5" s="2" t="s">
        <v>4</v>
      </c>
      <c r="C5" s="2" t="s">
        <v>10</v>
      </c>
      <c r="D5" s="3" t="s">
        <v>22</v>
      </c>
      <c r="E5" s="4">
        <v>199</v>
      </c>
      <c r="F5" s="14">
        <v>12</v>
      </c>
      <c r="G5" s="5">
        <v>245.5</v>
      </c>
      <c r="H5" s="3">
        <v>12</v>
      </c>
      <c r="I5" s="14">
        <f t="shared" si="0"/>
        <v>0</v>
      </c>
      <c r="J5" s="8">
        <f t="shared" si="1"/>
        <v>46.5</v>
      </c>
      <c r="K5" s="15">
        <f t="shared" ca="1" si="2"/>
        <v>44626</v>
      </c>
    </row>
    <row r="6" spans="1:11" ht="19.5" hidden="1" thickBot="1" x14ac:dyDescent="0.35">
      <c r="A6" s="1">
        <v>5</v>
      </c>
      <c r="B6" s="2" t="s">
        <v>5</v>
      </c>
      <c r="C6" s="2" t="s">
        <v>11</v>
      </c>
      <c r="D6" s="3" t="s">
        <v>25</v>
      </c>
      <c r="E6" s="4">
        <v>69</v>
      </c>
      <c r="F6" s="14">
        <v>32</v>
      </c>
      <c r="G6" s="5">
        <v>89.9</v>
      </c>
      <c r="H6" s="3">
        <v>11</v>
      </c>
      <c r="I6" s="14">
        <f t="shared" si="0"/>
        <v>21</v>
      </c>
      <c r="J6" s="8">
        <f t="shared" si="1"/>
        <v>20.900000000000006</v>
      </c>
      <c r="K6" s="15">
        <f t="shared" ca="1" si="2"/>
        <v>44847</v>
      </c>
    </row>
    <row r="7" spans="1:11" ht="19.5" hidden="1" thickBot="1" x14ac:dyDescent="0.35">
      <c r="A7" s="1">
        <v>6</v>
      </c>
      <c r="B7" s="2" t="s">
        <v>2</v>
      </c>
      <c r="C7" s="2" t="s">
        <v>12</v>
      </c>
      <c r="D7" s="3" t="s">
        <v>26</v>
      </c>
      <c r="E7" s="4">
        <v>125</v>
      </c>
      <c r="F7" s="14">
        <v>24</v>
      </c>
      <c r="G7" s="5">
        <v>155.9</v>
      </c>
      <c r="H7" s="3">
        <v>20</v>
      </c>
      <c r="I7" s="14">
        <f t="shared" si="0"/>
        <v>4</v>
      </c>
      <c r="J7" s="8">
        <f t="shared" si="1"/>
        <v>30.900000000000006</v>
      </c>
      <c r="K7" s="15">
        <f t="shared" ca="1" si="2"/>
        <v>44685</v>
      </c>
    </row>
    <row r="8" spans="1:11" ht="19.5" hidden="1" thickBot="1" x14ac:dyDescent="0.35">
      <c r="A8" s="1">
        <v>7</v>
      </c>
      <c r="B8" s="2" t="s">
        <v>6</v>
      </c>
      <c r="C8" s="2" t="s">
        <v>13</v>
      </c>
      <c r="D8" s="3" t="s">
        <v>27</v>
      </c>
      <c r="E8" s="4">
        <v>65</v>
      </c>
      <c r="F8" s="14">
        <v>37</v>
      </c>
      <c r="G8" s="5">
        <v>77.989999999999995</v>
      </c>
      <c r="H8" s="3">
        <v>34</v>
      </c>
      <c r="I8" s="14">
        <f t="shared" si="0"/>
        <v>3</v>
      </c>
      <c r="J8" s="8">
        <f t="shared" si="1"/>
        <v>12.989999999999995</v>
      </c>
      <c r="K8" s="15">
        <f t="shared" ca="1" si="2"/>
        <v>44656</v>
      </c>
    </row>
    <row r="9" spans="1:11" ht="19.5" hidden="1" thickBot="1" x14ac:dyDescent="0.35">
      <c r="A9" s="1">
        <v>8</v>
      </c>
      <c r="B9" s="2" t="s">
        <v>2</v>
      </c>
      <c r="C9" s="2" t="s">
        <v>7</v>
      </c>
      <c r="D9" s="3" t="s">
        <v>22</v>
      </c>
      <c r="E9" s="4">
        <v>98.285714285714306</v>
      </c>
      <c r="F9" s="14">
        <v>33.428571428571402</v>
      </c>
      <c r="G9" s="5">
        <v>126.282857142857</v>
      </c>
      <c r="H9" s="14">
        <v>24.285714285714299</v>
      </c>
      <c r="I9" s="14">
        <f t="shared" si="0"/>
        <v>9.1428571428571033</v>
      </c>
      <c r="J9" s="8">
        <f t="shared" si="1"/>
        <v>27.997142857142691</v>
      </c>
      <c r="K9" s="15">
        <f t="shared" ca="1" si="2"/>
        <v>44585</v>
      </c>
    </row>
    <row r="10" spans="1:11" ht="19.5" hidden="1" thickBot="1" x14ac:dyDescent="0.35">
      <c r="A10" s="1">
        <v>9</v>
      </c>
      <c r="B10" s="2" t="s">
        <v>3</v>
      </c>
      <c r="C10" s="2" t="s">
        <v>8</v>
      </c>
      <c r="D10" s="3" t="s">
        <v>23</v>
      </c>
      <c r="E10" s="4">
        <v>86.964285714285694</v>
      </c>
      <c r="F10" s="14">
        <v>34.928571428571402</v>
      </c>
      <c r="G10" s="5">
        <v>114.05071428571399</v>
      </c>
      <c r="H10" s="14">
        <v>24.714285714285701</v>
      </c>
      <c r="I10" s="14">
        <f t="shared" si="0"/>
        <v>10.214285714285701</v>
      </c>
      <c r="J10" s="8">
        <f t="shared" si="1"/>
        <v>27.0864285714283</v>
      </c>
      <c r="K10" s="15">
        <f t="shared" ca="1" si="2"/>
        <v>44724</v>
      </c>
    </row>
    <row r="11" spans="1:11" ht="19.5" hidden="1" thickBot="1" x14ac:dyDescent="0.35">
      <c r="A11" s="1">
        <v>10</v>
      </c>
      <c r="B11" s="2" t="s">
        <v>4</v>
      </c>
      <c r="C11" s="2" t="s">
        <v>9</v>
      </c>
      <c r="D11" s="3" t="s">
        <v>24</v>
      </c>
      <c r="E11" s="4">
        <v>75.642857142857295</v>
      </c>
      <c r="F11" s="14">
        <v>36.428571428571402</v>
      </c>
      <c r="G11" s="5">
        <v>101.818571428571</v>
      </c>
      <c r="H11" s="14">
        <v>25.1428571428571</v>
      </c>
      <c r="I11" s="14">
        <f t="shared" si="0"/>
        <v>11.285714285714302</v>
      </c>
      <c r="J11" s="8">
        <f t="shared" si="1"/>
        <v>26.17571428571371</v>
      </c>
      <c r="K11" s="15">
        <f t="shared" ca="1" si="2"/>
        <v>44579</v>
      </c>
    </row>
    <row r="12" spans="1:11" ht="19.5" hidden="1" thickBot="1" x14ac:dyDescent="0.35">
      <c r="A12" s="1">
        <v>11</v>
      </c>
      <c r="B12" s="2" t="s">
        <v>4</v>
      </c>
      <c r="C12" s="2" t="s">
        <v>10</v>
      </c>
      <c r="D12" s="3" t="s">
        <v>22</v>
      </c>
      <c r="E12" s="4">
        <v>64.321428571428299</v>
      </c>
      <c r="F12" s="14">
        <v>37.928571428571402</v>
      </c>
      <c r="G12" s="5">
        <v>89.586428571428101</v>
      </c>
      <c r="H12" s="14">
        <v>25.571428571428601</v>
      </c>
      <c r="I12" s="14">
        <f t="shared" si="0"/>
        <v>12.357142857142801</v>
      </c>
      <c r="J12" s="8">
        <f t="shared" si="1"/>
        <v>25.264999999999802</v>
      </c>
      <c r="K12" s="15">
        <f t="shared" ca="1" si="2"/>
        <v>44845</v>
      </c>
    </row>
    <row r="13" spans="1:11" ht="19.5" hidden="1" thickBot="1" x14ac:dyDescent="0.35">
      <c r="A13" s="1">
        <v>12</v>
      </c>
      <c r="B13" s="2" t="s">
        <v>5</v>
      </c>
      <c r="C13" s="2" t="s">
        <v>11</v>
      </c>
      <c r="D13" s="3" t="s">
        <v>25</v>
      </c>
      <c r="E13" s="4">
        <v>53.000000000000298</v>
      </c>
      <c r="F13" s="14">
        <v>39.428571428571402</v>
      </c>
      <c r="G13" s="5">
        <v>77.354285714286107</v>
      </c>
      <c r="H13" s="14">
        <v>26</v>
      </c>
      <c r="I13" s="14">
        <f t="shared" si="0"/>
        <v>13.428571428571402</v>
      </c>
      <c r="J13" s="8">
        <f t="shared" si="1"/>
        <v>24.354285714285808</v>
      </c>
      <c r="K13" s="15">
        <f t="shared" ca="1" si="2"/>
        <v>44576</v>
      </c>
    </row>
    <row r="14" spans="1:11" ht="19.5" hidden="1" thickBot="1" x14ac:dyDescent="0.35">
      <c r="A14" s="1">
        <v>13</v>
      </c>
      <c r="B14" s="2" t="s">
        <v>2</v>
      </c>
      <c r="C14" s="2" t="s">
        <v>12</v>
      </c>
      <c r="D14" s="3" t="s">
        <v>28</v>
      </c>
      <c r="E14" s="4">
        <v>41.678571428571303</v>
      </c>
      <c r="F14" s="14">
        <v>40.928571428571402</v>
      </c>
      <c r="G14" s="5">
        <v>65.122142857143103</v>
      </c>
      <c r="H14" s="14">
        <v>26.428571428571399</v>
      </c>
      <c r="I14" s="14">
        <f t="shared" si="0"/>
        <v>14.500000000000004</v>
      </c>
      <c r="J14" s="8">
        <f t="shared" si="1"/>
        <v>23.443571428571801</v>
      </c>
      <c r="K14" s="15">
        <f t="shared" ca="1" si="2"/>
        <v>44609</v>
      </c>
    </row>
    <row r="15" spans="1:11" ht="19.5" hidden="1" thickBot="1" x14ac:dyDescent="0.35">
      <c r="A15" s="1">
        <v>14</v>
      </c>
      <c r="B15" s="2" t="s">
        <v>6</v>
      </c>
      <c r="C15" s="2" t="s">
        <v>13</v>
      </c>
      <c r="D15" s="3" t="s">
        <v>27</v>
      </c>
      <c r="E15" s="4">
        <v>30.357142857143302</v>
      </c>
      <c r="F15" s="14">
        <v>42.428571428571402</v>
      </c>
      <c r="G15" s="5">
        <v>52.8900000000001</v>
      </c>
      <c r="H15" s="14">
        <v>26.857142857142801</v>
      </c>
      <c r="I15" s="14">
        <f t="shared" si="0"/>
        <v>15.571428571428601</v>
      </c>
      <c r="J15" s="8">
        <f t="shared" si="1"/>
        <v>22.532857142856798</v>
      </c>
      <c r="K15" s="15">
        <f t="shared" ca="1" si="2"/>
        <v>44642</v>
      </c>
    </row>
    <row r="16" spans="1:11" ht="19.5" hidden="1" thickBot="1" x14ac:dyDescent="0.35">
      <c r="A16" s="1">
        <v>15</v>
      </c>
      <c r="B16" s="2" t="s">
        <v>2</v>
      </c>
      <c r="C16" s="2" t="s">
        <v>7</v>
      </c>
      <c r="D16" s="3" t="s">
        <v>22</v>
      </c>
      <c r="E16" s="4">
        <v>19.035714285714299</v>
      </c>
      <c r="F16" s="14">
        <v>43.928571428571402</v>
      </c>
      <c r="G16" s="5">
        <v>40.657857142857097</v>
      </c>
      <c r="H16" s="14">
        <v>27.285714285714299</v>
      </c>
      <c r="I16" s="14">
        <f t="shared" si="0"/>
        <v>16.642857142857103</v>
      </c>
      <c r="J16" s="8">
        <f t="shared" si="1"/>
        <v>21.622142857142798</v>
      </c>
      <c r="K16" s="15">
        <f t="shared" ca="1" si="2"/>
        <v>44602</v>
      </c>
    </row>
    <row r="17" spans="1:11" ht="19.5" thickBot="1" x14ac:dyDescent="0.35">
      <c r="A17" s="1">
        <v>16</v>
      </c>
      <c r="B17" s="2" t="s">
        <v>3</v>
      </c>
      <c r="C17" s="2" t="s">
        <v>8</v>
      </c>
      <c r="D17" s="3" t="s">
        <v>23</v>
      </c>
      <c r="E17" s="4">
        <v>7.7142857142852703</v>
      </c>
      <c r="F17" s="14">
        <v>45.428571428571402</v>
      </c>
      <c r="G17" s="5">
        <v>28.425714285714101</v>
      </c>
      <c r="H17" s="14">
        <v>27.714285714285701</v>
      </c>
      <c r="I17" s="14">
        <f t="shared" si="0"/>
        <v>17.714285714285701</v>
      </c>
      <c r="J17" s="8">
        <f t="shared" si="1"/>
        <v>20.711428571428829</v>
      </c>
      <c r="K17" s="15">
        <f t="shared" ca="1" si="2"/>
        <v>44821</v>
      </c>
    </row>
  </sheetData>
  <autoFilter ref="A1:K17" xr:uid="{269FCC9B-83FB-47AA-8098-BA1946444159}">
    <filterColumn colId="10">
      <filters>
        <dateGroupItem year="2022" month="5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Основной</vt:lpstr>
      <vt:lpstr>2.5</vt:lpstr>
      <vt:lpstr>2.4</vt:lpstr>
      <vt:lpstr>2.1</vt:lpstr>
      <vt:lpstr>2.2</vt:lpstr>
      <vt:lpstr>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Шильников</dc:creator>
  <cp:lastModifiedBy>Максим Шильников</cp:lastModifiedBy>
  <dcterms:created xsi:type="dcterms:W3CDTF">2015-06-05T18:19:34Z</dcterms:created>
  <dcterms:modified xsi:type="dcterms:W3CDTF">2025-11-16T12:21:43Z</dcterms:modified>
</cp:coreProperties>
</file>