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pr\OneDrive\Рабочий стол\"/>
    </mc:Choice>
  </mc:AlternateContent>
  <xr:revisionPtr revIDLastSave="0" documentId="13_ncr:1_{0C0EB223-CE3C-4997-BFC1-69A52AFD1806}" xr6:coauthVersionLast="47" xr6:coauthVersionMax="47" xr10:uidLastSave="{00000000-0000-0000-0000-000000000000}"/>
  <bookViews>
    <workbookView xWindow="4170" yWindow="0" windowWidth="21600" windowHeight="11850" activeTab="6" xr2:uid="{E7EA0BB0-0619-4C7F-9614-504D087F3756}"/>
  </bookViews>
  <sheets>
    <sheet name="Закупки" sheetId="1" r:id="rId1"/>
    <sheet name="График" sheetId="2" r:id="rId2"/>
    <sheet name="Аттестация" sheetId="3" r:id="rId3"/>
    <sheet name="Фун. даты" sheetId="4" r:id="rId4"/>
    <sheet name="Фун. лог." sheetId="5" r:id="rId5"/>
    <sheet name="Ведомостьё" sheetId="6" r:id="rId6"/>
    <sheet name="Пособия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A4" i="4"/>
  <c r="E3" i="7"/>
  <c r="F3" i="7" s="1"/>
  <c r="E2" i="7"/>
  <c r="F2" i="7" s="1"/>
  <c r="I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I6" i="7" s="1"/>
  <c r="E10" i="7"/>
  <c r="F10" i="7" s="1"/>
  <c r="E11" i="7"/>
  <c r="F11" i="7" s="1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C2" i="6"/>
  <c r="D2" i="6"/>
  <c r="E2" i="6"/>
  <c r="B2" i="6"/>
  <c r="A1" i="5"/>
  <c r="B1" i="5" s="1"/>
  <c r="A7" i="4"/>
  <c r="A6" i="4"/>
  <c r="A2" i="4"/>
  <c r="A3" i="4"/>
  <c r="A1" i="4"/>
  <c r="D3" i="3"/>
  <c r="E3" i="3"/>
  <c r="F3" i="3"/>
  <c r="G3" i="3"/>
  <c r="H3" i="3"/>
  <c r="I3" i="3"/>
  <c r="J3" i="3"/>
  <c r="D4" i="3"/>
  <c r="E4" i="3"/>
  <c r="F4" i="3"/>
  <c r="G4" i="3"/>
  <c r="H4" i="3"/>
  <c r="I4" i="3"/>
  <c r="J4" i="3"/>
  <c r="D5" i="3"/>
  <c r="E5" i="3"/>
  <c r="F5" i="3"/>
  <c r="G5" i="3"/>
  <c r="H5" i="3"/>
  <c r="I5" i="3"/>
  <c r="J5" i="3"/>
  <c r="D6" i="3"/>
  <c r="E6" i="3"/>
  <c r="F6" i="3"/>
  <c r="G6" i="3"/>
  <c r="H6" i="3"/>
  <c r="I6" i="3"/>
  <c r="J6" i="3"/>
  <c r="D7" i="3"/>
  <c r="E7" i="3"/>
  <c r="F7" i="3"/>
  <c r="G7" i="3"/>
  <c r="H7" i="3"/>
  <c r="I7" i="3"/>
  <c r="J7" i="3"/>
  <c r="D8" i="3"/>
  <c r="E8" i="3"/>
  <c r="F8" i="3"/>
  <c r="G8" i="3"/>
  <c r="H8" i="3"/>
  <c r="I8" i="3"/>
  <c r="J8" i="3"/>
  <c r="D9" i="3"/>
  <c r="E9" i="3"/>
  <c r="F9" i="3"/>
  <c r="G9" i="3"/>
  <c r="H9" i="3"/>
  <c r="I9" i="3"/>
  <c r="J9" i="3"/>
  <c r="D10" i="3"/>
  <c r="E10" i="3"/>
  <c r="F10" i="3"/>
  <c r="G10" i="3"/>
  <c r="H10" i="3"/>
  <c r="I10" i="3"/>
  <c r="J10" i="3"/>
  <c r="D11" i="3"/>
  <c r="E11" i="3"/>
  <c r="F11" i="3"/>
  <c r="G11" i="3"/>
  <c r="H11" i="3"/>
  <c r="I11" i="3"/>
  <c r="J11" i="3"/>
  <c r="E2" i="3"/>
  <c r="F2" i="3"/>
  <c r="G2" i="3"/>
  <c r="H2" i="3"/>
  <c r="I2" i="3"/>
  <c r="J2" i="3"/>
  <c r="D2" i="3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B3" i="2"/>
  <c r="AO2" i="2"/>
  <c r="AP2" i="2"/>
  <c r="AQ2" i="2"/>
  <c r="AR2" i="2"/>
  <c r="AS2" i="2"/>
  <c r="AT2" i="2" s="1"/>
  <c r="AU2" i="2" s="1"/>
  <c r="F2" i="2"/>
  <c r="G2" i="2"/>
  <c r="H2" i="2"/>
  <c r="I2" i="2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D2" i="2"/>
  <c r="E2" i="2"/>
  <c r="C2" i="2"/>
  <c r="B2" i="2"/>
  <c r="G19" i="1"/>
  <c r="G17" i="1"/>
  <c r="G15" i="1"/>
  <c r="G13" i="1"/>
  <c r="G11" i="1"/>
  <c r="G8" i="1"/>
  <c r="G9" i="1"/>
  <c r="F4" i="1"/>
  <c r="G4" i="1" s="1"/>
  <c r="F5" i="1"/>
  <c r="G5" i="1" s="1"/>
  <c r="F6" i="1"/>
  <c r="G6" i="1" s="1"/>
  <c r="F7" i="1"/>
  <c r="G7" i="1" s="1"/>
  <c r="F8" i="1"/>
  <c r="F9" i="1"/>
  <c r="E4" i="1"/>
  <c r="E5" i="1"/>
  <c r="E6" i="1"/>
  <c r="E7" i="1"/>
  <c r="E8" i="1"/>
  <c r="E9" i="1"/>
  <c r="F3" i="1"/>
  <c r="G3" i="1" s="1"/>
  <c r="E3" i="1"/>
  <c r="I10" i="7" l="1"/>
  <c r="I11" i="7"/>
  <c r="I5" i="7"/>
  <c r="I9" i="7"/>
  <c r="I4" i="7"/>
  <c r="C15" i="7"/>
  <c r="C13" i="7"/>
  <c r="C14" i="7"/>
  <c r="F7" i="6"/>
  <c r="G7" i="6" s="1"/>
  <c r="F11" i="6"/>
  <c r="G11" i="6" s="1"/>
  <c r="F10" i="6"/>
  <c r="G10" i="6" s="1"/>
  <c r="F5" i="6"/>
  <c r="G5" i="6" s="1"/>
  <c r="F8" i="6"/>
  <c r="G8" i="6" s="1"/>
  <c r="F4" i="6"/>
  <c r="G4" i="6" s="1"/>
  <c r="F9" i="6"/>
  <c r="G9" i="6" s="1"/>
  <c r="F6" i="6"/>
  <c r="G6" i="6" s="1"/>
  <c r="F3" i="6"/>
  <c r="G3" i="6" s="1"/>
  <c r="F2" i="6"/>
  <c r="G2" i="6" s="1"/>
</calcChain>
</file>

<file path=xl/sharedStrings.xml><?xml version="1.0" encoding="utf-8"?>
<sst xmlns="http://schemas.openxmlformats.org/spreadsheetml/2006/main" count="84" uniqueCount="80">
  <si>
    <t>Информация о закупках</t>
  </si>
  <si>
    <t>№</t>
  </si>
  <si>
    <t>Вид техники</t>
  </si>
  <si>
    <t>Количество, шт.</t>
  </si>
  <si>
    <t>Цена, $</t>
  </si>
  <si>
    <t>Общая стоимость закупки, $</t>
  </si>
  <si>
    <t>Цена, руб.</t>
  </si>
  <si>
    <t>Общая стоимость закупки, руб.</t>
  </si>
  <si>
    <t>МФУ</t>
  </si>
  <si>
    <t>Ноутбук</t>
  </si>
  <si>
    <t>Wi-fi роутер</t>
  </si>
  <si>
    <t>Web-камера</t>
  </si>
  <si>
    <t>Мышь беспроводная</t>
  </si>
  <si>
    <t>Стол компьютерный</t>
  </si>
  <si>
    <t>Стул компьютерный</t>
  </si>
  <si>
    <t>Курс доллара</t>
  </si>
  <si>
    <t>Максимальная стоимость закупки в $</t>
  </si>
  <si>
    <t>Максимальная стоимость закупки в руб</t>
  </si>
  <si>
    <t>Средняя цена за единицу товара в чеке</t>
  </si>
  <si>
    <t>ИТОГО, руб</t>
  </si>
  <si>
    <t>ИТОГО, $</t>
  </si>
  <si>
    <t>Шаг</t>
  </si>
  <si>
    <t>x1=</t>
  </si>
  <si>
    <t>x</t>
  </si>
  <si>
    <t>y</t>
  </si>
  <si>
    <t>№ п/п</t>
  </si>
  <si>
    <t>группа</t>
  </si>
  <si>
    <t>студент</t>
  </si>
  <si>
    <t>физика</t>
  </si>
  <si>
    <t>математика</t>
  </si>
  <si>
    <t>информатика</t>
  </si>
  <si>
    <t>ин.яз.</t>
  </si>
  <si>
    <t>история</t>
  </si>
  <si>
    <t>физич. Культура</t>
  </si>
  <si>
    <t>экономическая теория</t>
  </si>
  <si>
    <t>Пальцева Т.В.</t>
  </si>
  <si>
    <t>Малых О.Г.</t>
  </si>
  <si>
    <t>Долгов И.Л.</t>
  </si>
  <si>
    <t>Зотов А.Н.</t>
  </si>
  <si>
    <t>Афанасьева А.К.</t>
  </si>
  <si>
    <t>Островский Г.В.</t>
  </si>
  <si>
    <t>Стрельцова П.В.</t>
  </si>
  <si>
    <t>Пловникова П.К.</t>
  </si>
  <si>
    <t>Крачук Т.Н.</t>
  </si>
  <si>
    <t>Андреева Д.С.</t>
  </si>
  <si>
    <t>Фамилия</t>
  </si>
  <si>
    <t>Математика</t>
  </si>
  <si>
    <t>Русский язык</t>
  </si>
  <si>
    <t>Иностранный язык</t>
  </si>
  <si>
    <t>Сумма</t>
  </si>
  <si>
    <t>Зачисление (да/нет)</t>
  </si>
  <si>
    <t>Проходной балл</t>
  </si>
  <si>
    <t>ФИО</t>
  </si>
  <si>
    <t>Дата рождения</t>
  </si>
  <si>
    <t>Месяц выплаты пособия</t>
  </si>
  <si>
    <t>Иванов Алексей Игоревич</t>
  </si>
  <si>
    <t>Сидоров Иван Михайлович</t>
  </si>
  <si>
    <t>Федорова Ольга Максимовна</t>
  </si>
  <si>
    <t>Лебедева Татьяна Егоровна</t>
  </si>
  <si>
    <t>Иванов Дмитрий Сергеевич</t>
  </si>
  <si>
    <t>Иванов Павел Андреевич</t>
  </si>
  <si>
    <t>Лебедева Мария Васильевна</t>
  </si>
  <si>
    <t>Лебедева Елена Владимировна</t>
  </si>
  <si>
    <t>Сидоров Анатолий Михайлович</t>
  </si>
  <si>
    <t>Сидоров Сергей Харитонович</t>
  </si>
  <si>
    <t>Мин. Заработок</t>
  </si>
  <si>
    <t>Возраст</t>
  </si>
  <si>
    <t>Сумма пособия</t>
  </si>
  <si>
    <t>Общая сумма пособий</t>
  </si>
  <si>
    <t>Средний возраст детей</t>
  </si>
  <si>
    <t>Количество детей старше 8 лет</t>
  </si>
  <si>
    <t>Месяц</t>
  </si>
  <si>
    <t>Иванов</t>
  </si>
  <si>
    <t>Сидоров</t>
  </si>
  <si>
    <t>Федорова</t>
  </si>
  <si>
    <t>Лебедева</t>
  </si>
  <si>
    <t>Сумма пособий</t>
  </si>
  <si>
    <t>Апрель</t>
  </si>
  <si>
    <t>Июнь</t>
  </si>
  <si>
    <t>Февраль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</si>
</sst>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  <numFmt numFmtId="165" formatCode="[$$-409]#,##0.00"/>
    <numFmt numFmtId="166" formatCode="[$-F400]h:mm:ss\ AM/PM"/>
    <numFmt numFmtId="168" formatCode="#,##0.00\ &quot;₽&quot;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double">
        <color rgb="FF9966FF"/>
      </left>
      <right style="double">
        <color rgb="FF9966FF"/>
      </right>
      <top style="double">
        <color rgb="FF9966FF"/>
      </top>
      <bottom style="double">
        <color rgb="FF9966FF"/>
      </bottom>
      <diagonal/>
    </border>
    <border>
      <left style="double">
        <color rgb="FF9966FF"/>
      </left>
      <right/>
      <top style="double">
        <color rgb="FF9966FF"/>
      </top>
      <bottom style="double">
        <color rgb="FF9966FF"/>
      </bottom>
      <diagonal/>
    </border>
    <border>
      <left/>
      <right/>
      <top style="double">
        <color rgb="FF9966FF"/>
      </top>
      <bottom style="double">
        <color rgb="FF9966FF"/>
      </bottom>
      <diagonal/>
    </border>
    <border>
      <left/>
      <right style="double">
        <color rgb="FF9966FF"/>
      </right>
      <top style="double">
        <color rgb="FF9966FF"/>
      </top>
      <bottom style="double">
        <color rgb="FF9966FF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thick">
        <color auto="1"/>
      </right>
      <top/>
      <bottom style="mediumDashed">
        <color auto="1"/>
      </bottom>
      <diagonal/>
    </border>
    <border>
      <left style="mediumDashed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/>
      <right style="mediumDashed">
        <color auto="1"/>
      </right>
      <top style="mediumDashed">
        <color auto="1"/>
      </top>
      <bottom style="thick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thick">
        <color auto="1"/>
      </bottom>
      <diagonal/>
    </border>
    <border>
      <left style="mediumDashed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vertical="center" wrapText="1"/>
    </xf>
    <xf numFmtId="164" fontId="4" fillId="3" borderId="5" xfId="0" applyNumberFormat="1" applyFont="1" applyFill="1" applyBorder="1" applyAlignment="1">
      <alignment vertical="center" wrapText="1"/>
    </xf>
    <xf numFmtId="44" fontId="4" fillId="3" borderId="5" xfId="0" applyNumberFormat="1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vertical="center" wrapText="1"/>
    </xf>
    <xf numFmtId="164" fontId="4" fillId="3" borderId="6" xfId="0" applyNumberFormat="1" applyFont="1" applyFill="1" applyBorder="1" applyAlignment="1">
      <alignment vertical="center" wrapText="1"/>
    </xf>
    <xf numFmtId="44" fontId="4" fillId="3" borderId="6" xfId="0" applyNumberFormat="1" applyFont="1" applyFill="1" applyBorder="1" applyAlignment="1">
      <alignment vertical="center" wrapText="1"/>
    </xf>
    <xf numFmtId="165" fontId="4" fillId="0" borderId="6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3" borderId="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center" textRotation="90"/>
    </xf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10" fillId="0" borderId="11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textRotation="90" wrapText="1"/>
    </xf>
    <xf numFmtId="0" fontId="1" fillId="0" borderId="14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19" xfId="0" applyFont="1" applyBorder="1"/>
    <xf numFmtId="166" fontId="0" fillId="0" borderId="0" xfId="0" applyNumberFormat="1"/>
    <xf numFmtId="14" fontId="0" fillId="0" borderId="0" xfId="0" applyNumberFormat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0" fontId="5" fillId="0" borderId="20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top"/>
    </xf>
    <xf numFmtId="0" fontId="5" fillId="0" borderId="20" xfId="0" applyFont="1" applyBorder="1"/>
    <xf numFmtId="0" fontId="0" fillId="0" borderId="20" xfId="0" applyNumberFormat="1" applyBorder="1"/>
    <xf numFmtId="1" fontId="0" fillId="0" borderId="20" xfId="0" applyNumberForma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 wrapText="1"/>
    </xf>
    <xf numFmtId="14" fontId="5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14" fontId="5" fillId="0" borderId="20" xfId="0" applyNumberFormat="1" applyFont="1" applyBorder="1" applyAlignment="1">
      <alignment horizontal="center" vertical="center"/>
    </xf>
    <xf numFmtId="0" fontId="5" fillId="4" borderId="20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2" fillId="0" borderId="20" xfId="0" applyFont="1" applyBorder="1"/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0" fillId="0" borderId="0" xfId="0" applyNumberFormat="1"/>
    <xf numFmtId="0" fontId="5" fillId="0" borderId="20" xfId="0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left" vertical="center"/>
    </xf>
    <xf numFmtId="1" fontId="5" fillId="0" borderId="20" xfId="0" applyNumberFormat="1" applyFont="1" applyBorder="1" applyAlignment="1">
      <alignment horizontal="center" vertical="center"/>
    </xf>
    <xf numFmtId="168" fontId="5" fillId="6" borderId="20" xfId="0" applyNumberFormat="1" applyFont="1" applyFill="1" applyBorder="1" applyAlignment="1">
      <alignment horizontal="center" vertical="center"/>
    </xf>
    <xf numFmtId="168" fontId="5" fillId="0" borderId="2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" fillId="7" borderId="23" xfId="0" applyFont="1" applyFill="1" applyBorder="1"/>
    <xf numFmtId="0" fontId="5" fillId="7" borderId="26" xfId="0" applyFont="1" applyFill="1" applyBorder="1"/>
    <xf numFmtId="0" fontId="11" fillId="7" borderId="24" xfId="0" applyFont="1" applyFill="1" applyBorder="1"/>
    <xf numFmtId="0" fontId="12" fillId="7" borderId="25" xfId="0" applyFont="1" applyFill="1" applyBorder="1"/>
    <xf numFmtId="0" fontId="5" fillId="7" borderId="21" xfId="0" applyFont="1" applyFill="1" applyBorder="1"/>
    <xf numFmtId="0" fontId="5" fillId="7" borderId="27" xfId="0" applyFont="1" applyFill="1" applyBorder="1"/>
    <xf numFmtId="0" fontId="12" fillId="6" borderId="24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</cellXfs>
  <cellStyles count="1">
    <cellStyle name="Обычный" xfId="0" builtinId="0"/>
  </cellStyles>
  <dxfs count="18"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AF690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>
          <fgColor indexed="64"/>
          <bgColor theme="9" tint="0.59999389629810485"/>
        </patternFill>
      </fill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>
          <fgColor indexed="64"/>
          <bgColor theme="9" tint="0.59999389629810485"/>
        </patternFill>
      </fill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>
          <fgColor indexed="64"/>
          <bgColor theme="9" tint="0.59999389629810485"/>
        </patternFill>
      </fill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ill>
        <patternFill>
          <fgColor indexed="64"/>
          <bgColor theme="9" tint="0.59999389629810485"/>
        </patternFill>
      </fill>
    </dxf>
    <dxf>
      <border outline="0">
        <top style="medium">
          <color auto="1"/>
        </top>
      </border>
    </dxf>
    <dxf>
      <border outline="0">
        <bottom style="medium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colors>
    <mruColors>
      <color rgb="FFAF6901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Количество</a:t>
            </a: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, </a:t>
            </a:r>
            <a:r>
              <a:rPr lang="ru-RU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шт</a:t>
            </a:r>
            <a:endParaRPr lang="ru-RU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spPr>
                <a:noFill/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957-422B-BF93-CD9C304A2F9F}"/>
                </c:ext>
              </c:extLst>
            </c:dLbl>
            <c:dLbl>
              <c:idx val="1"/>
              <c:spPr>
                <a:noFill/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957-422B-BF93-CD9C304A2F9F}"/>
                </c:ext>
              </c:extLst>
            </c:dLbl>
            <c:dLbl>
              <c:idx val="2"/>
              <c:spPr>
                <a:noFill/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957-422B-BF93-CD9C304A2F9F}"/>
                </c:ext>
              </c:extLst>
            </c:dLbl>
            <c:dLbl>
              <c:idx val="3"/>
              <c:spPr>
                <a:noFill/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957-422B-BF93-CD9C304A2F9F}"/>
                </c:ext>
              </c:extLst>
            </c:dLbl>
            <c:dLbl>
              <c:idx val="4"/>
              <c:spPr>
                <a:noFill/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8957-422B-BF93-CD9C304A2F9F}"/>
                </c:ext>
              </c:extLst>
            </c:dLbl>
            <c:dLbl>
              <c:idx val="5"/>
              <c:spPr>
                <a:noFill/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8957-422B-BF93-CD9C304A2F9F}"/>
                </c:ext>
              </c:extLst>
            </c:dLbl>
            <c:dLbl>
              <c:idx val="6"/>
              <c:spPr>
                <a:noFill/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957-422B-BF93-CD9C304A2F9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Закупки!$B$3:$B$9</c:f>
              <c:strCache>
                <c:ptCount val="7"/>
                <c:pt idx="0">
                  <c:v>МФУ</c:v>
                </c:pt>
                <c:pt idx="1">
                  <c:v>Ноутбук</c:v>
                </c:pt>
                <c:pt idx="2">
                  <c:v>Wi-fi роутер</c:v>
                </c:pt>
                <c:pt idx="3">
                  <c:v>Web-камера</c:v>
                </c:pt>
                <c:pt idx="4">
                  <c:v>Мышь беспроводная</c:v>
                </c:pt>
                <c:pt idx="5">
                  <c:v>Стол компьютерный</c:v>
                </c:pt>
                <c:pt idx="6">
                  <c:v>Стул компьютерный</c:v>
                </c:pt>
              </c:strCache>
            </c:strRef>
          </c:cat>
          <c:val>
            <c:numRef>
              <c:f>Закупки!$C$3:$C$9</c:f>
              <c:numCache>
                <c:formatCode>0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4</c:v>
                </c:pt>
                <c:pt idx="3">
                  <c:v>9</c:v>
                </c:pt>
                <c:pt idx="4">
                  <c:v>17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7-422B-BF93-CD9C304A2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5727744"/>
        <c:axId val="455725944"/>
        <c:axId val="0"/>
      </c:bar3DChart>
      <c:catAx>
        <c:axId val="4557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725944"/>
        <c:crosses val="autoZero"/>
        <c:auto val="1"/>
        <c:lblAlgn val="ctr"/>
        <c:lblOffset val="100"/>
        <c:noMultiLvlLbl val="0"/>
      </c:catAx>
      <c:valAx>
        <c:axId val="455725944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7277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>
                <a:latin typeface="Times New Roman" panose="02020603050405020304" pitchFamily="18" charset="0"/>
                <a:cs typeface="Times New Roman" panose="02020603050405020304" pitchFamily="18" charset="0"/>
              </a:rPr>
              <a:t>стоимость закупки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55555555555558E-2"/>
          <c:y val="0.20487532808398951"/>
          <c:w val="0.85555555555555551"/>
          <c:h val="0.7248326771653543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A80-49DE-AA02-EDFF190C30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A80-49DE-AA02-EDFF190C30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2A80-49DE-AA02-EDFF190C30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A80-49DE-AA02-EDFF190C30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2A80-49DE-AA02-EDFF190C30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A80-49DE-AA02-EDFF190C30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A80-49DE-AA02-EDFF190C30AE}"/>
              </c:ext>
            </c:extLst>
          </c:dPt>
          <c:dLbls>
            <c:dLbl>
              <c:idx val="0"/>
              <c:layout>
                <c:manualLayout>
                  <c:x val="6.2279636920384955E-2"/>
                  <c:y val="-6.524496937882764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80-49DE-AA02-EDFF190C30AE}"/>
                </c:ext>
              </c:extLst>
            </c:dLbl>
            <c:dLbl>
              <c:idx val="1"/>
              <c:layout>
                <c:manualLayout>
                  <c:x val="3.4520997375328086E-2"/>
                  <c:y val="-7.646179644211140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80-49DE-AA02-EDFF190C30AE}"/>
                </c:ext>
              </c:extLst>
            </c:dLbl>
            <c:dLbl>
              <c:idx val="2"/>
              <c:layout>
                <c:manualLayout>
                  <c:x val="-2.0685012029746281E-2"/>
                  <c:y val="4.25074313831605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80-49DE-AA02-EDFF190C30AE}"/>
                </c:ext>
              </c:extLst>
            </c:dLbl>
            <c:dLbl>
              <c:idx val="3"/>
              <c:layout>
                <c:manualLayout>
                  <c:x val="-8.5069444444444437E-3"/>
                  <c:y val="5.4503835733912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80-49DE-AA02-EDFF190C30AE}"/>
                </c:ext>
              </c:extLst>
            </c:dLbl>
            <c:dLbl>
              <c:idx val="4"/>
              <c:layout>
                <c:manualLayout>
                  <c:x val="1.2083333333333334E-3"/>
                  <c:y val="-1.82793817439486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80-49DE-AA02-EDFF190C30AE}"/>
                </c:ext>
              </c:extLst>
            </c:dLbl>
            <c:dLbl>
              <c:idx val="5"/>
              <c:layout>
                <c:manualLayout>
                  <c:x val="-1.6728127734033246E-2"/>
                  <c:y val="-0.110065981335666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80-49DE-AA02-EDFF190C30AE}"/>
                </c:ext>
              </c:extLst>
            </c:dLbl>
            <c:dLbl>
              <c:idx val="6"/>
              <c:layout>
                <c:manualLayout>
                  <c:x val="2.3008858267716537E-2"/>
                  <c:y val="-7.3527267424905224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80-49DE-AA02-EDFF190C30AE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Закупки!$B$3:$B$9</c:f>
              <c:strCache>
                <c:ptCount val="7"/>
                <c:pt idx="0">
                  <c:v>МФУ</c:v>
                </c:pt>
                <c:pt idx="1">
                  <c:v>Ноутбук</c:v>
                </c:pt>
                <c:pt idx="2">
                  <c:v>Wi-fi роутер</c:v>
                </c:pt>
                <c:pt idx="3">
                  <c:v>Web-камера</c:v>
                </c:pt>
                <c:pt idx="4">
                  <c:v>Мышь беспроводная</c:v>
                </c:pt>
                <c:pt idx="5">
                  <c:v>Стол компьютерный</c:v>
                </c:pt>
                <c:pt idx="6">
                  <c:v>Стул компьютерный</c:v>
                </c:pt>
              </c:strCache>
            </c:strRef>
          </c:cat>
          <c:val>
            <c:numRef>
              <c:f>Закупки!$G$3:$G$9</c:f>
              <c:numCache>
                <c:formatCode>_("₽"* #,##0.00_);_("₽"* \(#,##0.00\);_("₽"* "-"??_);_(@_)</c:formatCode>
                <c:ptCount val="7"/>
                <c:pt idx="0">
                  <c:v>82692.05</c:v>
                </c:pt>
                <c:pt idx="1">
                  <c:v>993934</c:v>
                </c:pt>
                <c:pt idx="2">
                  <c:v>18102.633999999998</c:v>
                </c:pt>
                <c:pt idx="3">
                  <c:v>21205.011599999998</c:v>
                </c:pt>
                <c:pt idx="4">
                  <c:v>16619.88</c:v>
                </c:pt>
                <c:pt idx="5">
                  <c:v>112428.59999999999</c:v>
                </c:pt>
                <c:pt idx="6">
                  <c:v>211170.24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0-49DE-AA02-EDFF190C30A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График!$A$3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График!$B$2:$AU$2</c:f>
              <c:numCache>
                <c:formatCode>General</c:formatCode>
                <c:ptCount val="4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0.79999999999999993</c:v>
                </c:pt>
                <c:pt idx="4">
                  <c:v>0.89999999999999991</c:v>
                </c:pt>
                <c:pt idx="5">
                  <c:v>0.99999999999999989</c:v>
                </c:pt>
                <c:pt idx="6">
                  <c:v>1.0999999999999999</c:v>
                </c:pt>
                <c:pt idx="7">
                  <c:v>1.2</c:v>
                </c:pt>
                <c:pt idx="8">
                  <c:v>1.3</c:v>
                </c:pt>
                <c:pt idx="9">
                  <c:v>1.4000000000000001</c:v>
                </c:pt>
                <c:pt idx="10">
                  <c:v>1.5000000000000002</c:v>
                </c:pt>
                <c:pt idx="11">
                  <c:v>1.6000000000000003</c:v>
                </c:pt>
                <c:pt idx="12">
                  <c:v>1.7000000000000004</c:v>
                </c:pt>
                <c:pt idx="13">
                  <c:v>1.8000000000000005</c:v>
                </c:pt>
                <c:pt idx="14">
                  <c:v>1.9000000000000006</c:v>
                </c:pt>
                <c:pt idx="15">
                  <c:v>2.0000000000000004</c:v>
                </c:pt>
                <c:pt idx="16">
                  <c:v>2.1000000000000005</c:v>
                </c:pt>
                <c:pt idx="17">
                  <c:v>2.2000000000000006</c:v>
                </c:pt>
                <c:pt idx="18">
                  <c:v>2.3000000000000007</c:v>
                </c:pt>
                <c:pt idx="19">
                  <c:v>2.4000000000000008</c:v>
                </c:pt>
                <c:pt idx="20">
                  <c:v>2.5000000000000009</c:v>
                </c:pt>
                <c:pt idx="21">
                  <c:v>2.600000000000001</c:v>
                </c:pt>
                <c:pt idx="22">
                  <c:v>2.7000000000000011</c:v>
                </c:pt>
                <c:pt idx="23">
                  <c:v>2.8000000000000012</c:v>
                </c:pt>
                <c:pt idx="24">
                  <c:v>2.9000000000000012</c:v>
                </c:pt>
                <c:pt idx="25">
                  <c:v>3.0000000000000013</c:v>
                </c:pt>
                <c:pt idx="26">
                  <c:v>3.1000000000000014</c:v>
                </c:pt>
                <c:pt idx="27">
                  <c:v>3.2000000000000015</c:v>
                </c:pt>
                <c:pt idx="28">
                  <c:v>3.3000000000000016</c:v>
                </c:pt>
                <c:pt idx="29">
                  <c:v>3.4000000000000017</c:v>
                </c:pt>
                <c:pt idx="30">
                  <c:v>3.5000000000000018</c:v>
                </c:pt>
                <c:pt idx="31">
                  <c:v>3.6000000000000019</c:v>
                </c:pt>
                <c:pt idx="32">
                  <c:v>3.700000000000002</c:v>
                </c:pt>
                <c:pt idx="33">
                  <c:v>3.800000000000002</c:v>
                </c:pt>
                <c:pt idx="34">
                  <c:v>3.9000000000000021</c:v>
                </c:pt>
                <c:pt idx="35">
                  <c:v>4.0000000000000018</c:v>
                </c:pt>
                <c:pt idx="36">
                  <c:v>4.1000000000000014</c:v>
                </c:pt>
                <c:pt idx="37">
                  <c:v>4.2000000000000011</c:v>
                </c:pt>
                <c:pt idx="38">
                  <c:v>4.3000000000000007</c:v>
                </c:pt>
                <c:pt idx="39">
                  <c:v>4.4000000000000004</c:v>
                </c:pt>
                <c:pt idx="40">
                  <c:v>4.5</c:v>
                </c:pt>
                <c:pt idx="41">
                  <c:v>4.5999999999999996</c:v>
                </c:pt>
                <c:pt idx="42">
                  <c:v>4.6999999999999993</c:v>
                </c:pt>
                <c:pt idx="43">
                  <c:v>4.7999999999999989</c:v>
                </c:pt>
                <c:pt idx="44">
                  <c:v>4.8999999999999986</c:v>
                </c:pt>
                <c:pt idx="45">
                  <c:v>4.9999999999999982</c:v>
                </c:pt>
              </c:numCache>
            </c:numRef>
          </c:xVal>
          <c:yVal>
            <c:numRef>
              <c:f>График!$B$3:$AU$3</c:f>
              <c:numCache>
                <c:formatCode>General</c:formatCode>
                <c:ptCount val="46"/>
                <c:pt idx="0">
                  <c:v>1.479425538604203</c:v>
                </c:pt>
                <c:pt idx="1">
                  <c:v>1.5646424733950353</c:v>
                </c:pt>
                <c:pt idx="2">
                  <c:v>1.644217687237691</c:v>
                </c:pt>
                <c:pt idx="3">
                  <c:v>1.7173560908995227</c:v>
                </c:pt>
                <c:pt idx="4">
                  <c:v>1.7833269096274833</c:v>
                </c:pt>
                <c:pt idx="5">
                  <c:v>1.8414709848078963</c:v>
                </c:pt>
                <c:pt idx="6">
                  <c:v>1.8912073600614354</c:v>
                </c:pt>
                <c:pt idx="7">
                  <c:v>1.9320390859672263</c:v>
                </c:pt>
                <c:pt idx="8">
                  <c:v>1.9635581854171931</c:v>
                </c:pt>
                <c:pt idx="9">
                  <c:v>1.9854497299884604</c:v>
                </c:pt>
                <c:pt idx="10">
                  <c:v>1.9974949866040546</c:v>
                </c:pt>
                <c:pt idx="11">
                  <c:v>1.999573603041505</c:v>
                </c:pt>
                <c:pt idx="12">
                  <c:v>1.9916648104524686</c:v>
                </c:pt>
                <c:pt idx="13">
                  <c:v>1.9738476308781951</c:v>
                </c:pt>
                <c:pt idx="14">
                  <c:v>1.9463000876874141</c:v>
                </c:pt>
                <c:pt idx="15">
                  <c:v>1.9092974268256815</c:v>
                </c:pt>
                <c:pt idx="16">
                  <c:v>1.8632093666488734</c:v>
                </c:pt>
                <c:pt idx="17">
                  <c:v>1.8084964038195899</c:v>
                </c:pt>
                <c:pt idx="18">
                  <c:v>1.7457052121767198</c:v>
                </c:pt>
                <c:pt idx="19">
                  <c:v>1.6754631805511502</c:v>
                </c:pt>
                <c:pt idx="20">
                  <c:v>1.5984721441039558</c:v>
                </c:pt>
                <c:pt idx="21">
                  <c:v>1.5155013718214634</c:v>
                </c:pt>
                <c:pt idx="22">
                  <c:v>1.4273798802338289</c:v>
                </c:pt>
                <c:pt idx="23">
                  <c:v>1.3349881501559038</c:v>
                </c:pt>
                <c:pt idx="24">
                  <c:v>1.239249329213981</c:v>
                </c:pt>
                <c:pt idx="25">
                  <c:v>1.141120008059866</c:v>
                </c:pt>
                <c:pt idx="26">
                  <c:v>1.0415806624332891</c:v>
                </c:pt>
                <c:pt idx="27">
                  <c:v>0.9416258565724186</c:v>
                </c:pt>
                <c:pt idx="28">
                  <c:v>0.84225430585674999</c:v>
                </c:pt>
                <c:pt idx="29">
                  <c:v>0.744458897973167</c:v>
                </c:pt>
                <c:pt idx="30">
                  <c:v>0.64921677231037855</c:v>
                </c:pt>
                <c:pt idx="31">
                  <c:v>0.55747955670514593</c:v>
                </c:pt>
                <c:pt idx="32">
                  <c:v>0.47016385909150515</c:v>
                </c:pt>
                <c:pt idx="33">
                  <c:v>0.38814210905727931</c:v>
                </c:pt>
                <c:pt idx="34">
                  <c:v>0.31223384081602468</c:v>
                </c:pt>
                <c:pt idx="35">
                  <c:v>0.24319750469207058</c:v>
                </c:pt>
                <c:pt idx="36">
                  <c:v>0.18172288893558863</c:v>
                </c:pt>
                <c:pt idx="37">
                  <c:v>0.12842422758641137</c:v>
                </c:pt>
                <c:pt idx="38">
                  <c:v>8.3834063250544766E-2</c:v>
                </c:pt>
                <c:pt idx="39">
                  <c:v>4.8397926110483991E-2</c:v>
                </c:pt>
                <c:pt idx="40">
                  <c:v>2.2469882334902991E-2</c:v>
                </c:pt>
                <c:pt idx="41">
                  <c:v>6.3089963665355908E-3</c:v>
                </c:pt>
                <c:pt idx="42">
                  <c:v>7.6742435899168626E-5</c:v>
                </c:pt>
                <c:pt idx="43">
                  <c:v>3.8353911641592076E-3</c:v>
                </c:pt>
                <c:pt idx="44">
                  <c:v>1.7547387375667189E-2</c:v>
                </c:pt>
                <c:pt idx="45">
                  <c:v>4.1075725336860991E-2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83C-B316-BAB13D8E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28104"/>
        <c:axId val="455715504"/>
      </c:scatterChart>
      <c:valAx>
        <c:axId val="45572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715504"/>
        <c:crosses val="autoZero"/>
        <c:crossBetween val="midCat"/>
      </c:valAx>
      <c:valAx>
        <c:axId val="4557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728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Пособия!$I$8</c:f>
              <c:strCache>
                <c:ptCount val="1"/>
                <c:pt idx="0">
                  <c:v>Сумма пособий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Пособия!$H$9:$H$11</c:f>
              <c:strCache>
                <c:ptCount val="3"/>
                <c:pt idx="0">
                  <c:v>Апрель</c:v>
                </c:pt>
                <c:pt idx="1">
                  <c:v>Июнь</c:v>
                </c:pt>
                <c:pt idx="2">
                  <c:v>Февраль</c:v>
                </c:pt>
              </c:strCache>
            </c:strRef>
          </c:cat>
          <c:val>
            <c:numRef>
              <c:f>Пособия!$I$9:$I$11</c:f>
              <c:numCache>
                <c:formatCode>General</c:formatCode>
                <c:ptCount val="3"/>
                <c:pt idx="0">
                  <c:v>32099.028000000006</c:v>
                </c:pt>
                <c:pt idx="1">
                  <c:v>22222.403999999999</c:v>
                </c:pt>
                <c:pt idx="2">
                  <c:v>7407.4679999999998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5-4220-9FA9-E7D04B21B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8997704"/>
        <c:axId val="658996984"/>
      </c:barChart>
      <c:catAx>
        <c:axId val="65899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996984"/>
        <c:crosses val="autoZero"/>
        <c:auto val="1"/>
        <c:lblAlgn val="ctr"/>
        <c:lblOffset val="100"/>
        <c:noMultiLvlLbl val="0"/>
      </c:catAx>
      <c:valAx>
        <c:axId val="65899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997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0</xdr:rowOff>
    </xdr:from>
    <xdr:to>
      <xdr:col>15</xdr:col>
      <xdr:colOff>9525</xdr:colOff>
      <xdr:row>14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E1CDF99-73BB-242A-CAA1-384651603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14</xdr:row>
      <xdr:rowOff>247649</xdr:rowOff>
    </xdr:from>
    <xdr:to>
      <xdr:col>20</xdr:col>
      <xdr:colOff>9525</xdr:colOff>
      <xdr:row>38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2610B2D-8C30-79DD-20DF-F86BA73D0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3</xdr:row>
      <xdr:rowOff>180975</xdr:rowOff>
    </xdr:from>
    <xdr:to>
      <xdr:col>8</xdr:col>
      <xdr:colOff>295275</xdr:colOff>
      <xdr:row>18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6DD738-AD8A-573C-4CB6-1F16E49D1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12</xdr:row>
      <xdr:rowOff>9526</xdr:rowOff>
    </xdr:from>
    <xdr:to>
      <xdr:col>9</xdr:col>
      <xdr:colOff>9526</xdr:colOff>
      <xdr:row>19</xdr:row>
      <xdr:rowOff>180976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EA432CF-1352-5CE1-BB48-F98EA46A4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02BC4-38A5-4B5B-8A97-92F794F98570}" name="Таблица1" displayName="Таблица1" ref="H2:I6" totalsRowShown="0" headerRowDxfId="13" dataDxfId="14" headerRowBorderDxfId="16" tableBorderDxfId="17" totalsRowBorderDxfId="15">
  <autoFilter ref="H2:I6" xr:uid="{DA802BC4-38A5-4B5B-8A97-92F794F98570}"/>
  <tableColumns count="2">
    <tableColumn id="1" xr3:uid="{E033EB28-C6CE-4348-BEC9-67A97A5EFB76}" name="Фамилия" dataDxfId="12"/>
    <tableColumn id="2" xr3:uid="{9776BFA0-FA03-4950-A707-383453F25CBB}" name="Сумма пособий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FDA9C8-B74D-4FD5-926A-89E65D90DA4B}" name="Таблица2" displayName="Таблица2" ref="H8:I11" totalsRowShown="0" headerRowDxfId="0" dataDxfId="6" headerRowBorderDxfId="4" tableBorderDxfId="5" totalsRowBorderDxfId="3">
  <autoFilter ref="H8:I11" xr:uid="{62FDA9C8-B74D-4FD5-926A-89E65D90DA4B}"/>
  <tableColumns count="2">
    <tableColumn id="1" xr3:uid="{932BCDD8-81F8-43F6-94A6-D681849DD73A}" name="Месяц" dataDxfId="2"/>
    <tableColumn id="2" xr3:uid="{15AE40AC-1B66-433D-9AF9-85BDD4504836}" name="Сумма пособий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9641-B2FE-4628-B8CB-3A90CAD6BB04}">
  <dimension ref="A1:I22"/>
  <sheetViews>
    <sheetView topLeftCell="A7" zoomScaleNormal="100" zoomScalePageLayoutView="115" workbookViewId="0">
      <selection activeCell="V21" sqref="V21"/>
    </sheetView>
  </sheetViews>
  <sheetFormatPr defaultRowHeight="15" x14ac:dyDescent="0.25"/>
  <cols>
    <col min="1" max="1" width="4.28515625" customWidth="1"/>
    <col min="2" max="2" width="20" customWidth="1"/>
    <col min="3" max="3" width="18.42578125" customWidth="1"/>
    <col min="4" max="4" width="10.5703125" customWidth="1"/>
    <col min="5" max="5" width="20.42578125" customWidth="1"/>
    <col min="6" max="6" width="14.7109375" customWidth="1"/>
    <col min="7" max="7" width="14.42578125" customWidth="1"/>
  </cols>
  <sheetData>
    <row r="1" spans="1:9" ht="35.25" thickBot="1" x14ac:dyDescent="0.5">
      <c r="A1" s="44" t="s">
        <v>0</v>
      </c>
      <c r="B1" s="44"/>
      <c r="C1" s="44"/>
      <c r="D1" s="44"/>
      <c r="E1" s="44"/>
      <c r="F1" s="44"/>
      <c r="G1" s="44"/>
      <c r="H1" s="1"/>
      <c r="I1" s="1"/>
    </row>
    <row r="2" spans="1:9" ht="76.5" thickTop="1" thickBot="1" x14ac:dyDescent="0.3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1"/>
      <c r="I2" s="1"/>
    </row>
    <row r="3" spans="1:9" ht="15.75" thickTop="1" x14ac:dyDescent="0.25">
      <c r="A3" s="6">
        <v>1</v>
      </c>
      <c r="B3" s="6" t="s">
        <v>8</v>
      </c>
      <c r="C3" s="7">
        <v>5</v>
      </c>
      <c r="D3" s="8">
        <v>203</v>
      </c>
      <c r="E3" s="9">
        <f>C3*D3</f>
        <v>1015</v>
      </c>
      <c r="F3" s="10">
        <f>D3*$G$21</f>
        <v>16538.41</v>
      </c>
      <c r="G3" s="10">
        <f>F3*C3</f>
        <v>82692.05</v>
      </c>
      <c r="H3" s="1"/>
      <c r="I3" s="1"/>
    </row>
    <row r="4" spans="1:9" x14ac:dyDescent="0.25">
      <c r="A4" s="11">
        <v>2</v>
      </c>
      <c r="B4" s="11" t="s">
        <v>9</v>
      </c>
      <c r="C4" s="12">
        <v>10</v>
      </c>
      <c r="D4" s="13">
        <v>1220</v>
      </c>
      <c r="E4" s="14">
        <f t="shared" ref="E4:E9" si="0">C4*D4</f>
        <v>12200</v>
      </c>
      <c r="F4" s="15">
        <f t="shared" ref="F4:F9" si="1">D4*$G$21</f>
        <v>99393.4</v>
      </c>
      <c r="G4" s="10">
        <f t="shared" ref="G4:G9" si="2">F4*C4</f>
        <v>993934</v>
      </c>
      <c r="H4" s="1"/>
      <c r="I4" s="1"/>
    </row>
    <row r="5" spans="1:9" x14ac:dyDescent="0.25">
      <c r="A5" s="11">
        <v>3</v>
      </c>
      <c r="B5" s="11" t="s">
        <v>10</v>
      </c>
      <c r="C5" s="12">
        <v>4</v>
      </c>
      <c r="D5" s="16">
        <v>55.55</v>
      </c>
      <c r="E5" s="14">
        <f t="shared" si="0"/>
        <v>222.2</v>
      </c>
      <c r="F5" s="15">
        <f t="shared" si="1"/>
        <v>4525.6584999999995</v>
      </c>
      <c r="G5" s="10">
        <f t="shared" si="2"/>
        <v>18102.633999999998</v>
      </c>
      <c r="H5" s="1"/>
      <c r="I5" s="1"/>
    </row>
    <row r="6" spans="1:9" ht="15" customHeight="1" x14ac:dyDescent="0.25">
      <c r="A6" s="11">
        <v>4</v>
      </c>
      <c r="B6" s="11" t="s">
        <v>11</v>
      </c>
      <c r="C6" s="12">
        <v>9</v>
      </c>
      <c r="D6" s="13">
        <v>28.92</v>
      </c>
      <c r="E6" s="14">
        <f t="shared" si="0"/>
        <v>260.28000000000003</v>
      </c>
      <c r="F6" s="15">
        <f t="shared" si="1"/>
        <v>2356.1124</v>
      </c>
      <c r="G6" s="10">
        <f t="shared" si="2"/>
        <v>21205.011599999998</v>
      </c>
      <c r="H6" s="1"/>
      <c r="I6" s="1"/>
    </row>
    <row r="7" spans="1:9" ht="15.75" customHeight="1" x14ac:dyDescent="0.25">
      <c r="A7" s="11">
        <v>5</v>
      </c>
      <c r="B7" s="11" t="s">
        <v>12</v>
      </c>
      <c r="C7" s="12">
        <v>17</v>
      </c>
      <c r="D7" s="13">
        <v>12</v>
      </c>
      <c r="E7" s="14">
        <f t="shared" si="0"/>
        <v>204</v>
      </c>
      <c r="F7" s="15">
        <f t="shared" si="1"/>
        <v>977.64</v>
      </c>
      <c r="G7" s="10">
        <f t="shared" si="2"/>
        <v>16619.88</v>
      </c>
      <c r="H7" s="1"/>
      <c r="I7" s="1"/>
    </row>
    <row r="8" spans="1:9" ht="15.75" customHeight="1" x14ac:dyDescent="0.25">
      <c r="A8" s="11">
        <v>6</v>
      </c>
      <c r="B8" s="11" t="s">
        <v>13</v>
      </c>
      <c r="C8" s="12">
        <v>12</v>
      </c>
      <c r="D8" s="13">
        <v>115</v>
      </c>
      <c r="E8" s="14">
        <f t="shared" si="0"/>
        <v>1380</v>
      </c>
      <c r="F8" s="15">
        <f t="shared" si="1"/>
        <v>9369.0499999999993</v>
      </c>
      <c r="G8" s="10">
        <f t="shared" si="2"/>
        <v>112428.59999999999</v>
      </c>
      <c r="H8" s="1"/>
      <c r="I8" s="1"/>
    </row>
    <row r="9" spans="1:9" x14ac:dyDescent="0.25">
      <c r="A9" s="11">
        <v>7</v>
      </c>
      <c r="B9" s="11" t="s">
        <v>14</v>
      </c>
      <c r="C9" s="12">
        <v>12</v>
      </c>
      <c r="D9" s="13">
        <v>216</v>
      </c>
      <c r="E9" s="14">
        <f t="shared" si="0"/>
        <v>2592</v>
      </c>
      <c r="F9" s="15">
        <f t="shared" si="1"/>
        <v>17597.52</v>
      </c>
      <c r="G9" s="10">
        <f t="shared" si="2"/>
        <v>211170.24</v>
      </c>
      <c r="H9" s="1"/>
      <c r="I9" s="1"/>
    </row>
    <row r="10" spans="1:9" ht="15.75" thickBot="1" x14ac:dyDescent="0.3"/>
    <row r="11" spans="1:9" ht="20.25" thickTop="1" thickBot="1" x14ac:dyDescent="0.3">
      <c r="A11" s="41" t="s">
        <v>20</v>
      </c>
      <c r="B11" s="42"/>
      <c r="C11" s="42"/>
      <c r="D11" s="42"/>
      <c r="E11" s="43"/>
      <c r="G11" s="19">
        <f>SUM(E3:E9)</f>
        <v>17873.480000000003</v>
      </c>
    </row>
    <row r="12" spans="1:9" ht="20.25" thickTop="1" thickBot="1" x14ac:dyDescent="0.3">
      <c r="A12" s="17"/>
      <c r="B12" s="17"/>
      <c r="C12" s="17"/>
      <c r="D12" s="17"/>
      <c r="E12" s="17"/>
      <c r="G12" s="20"/>
    </row>
    <row r="13" spans="1:9" ht="20.25" thickTop="1" thickBot="1" x14ac:dyDescent="0.3">
      <c r="A13" s="41" t="s">
        <v>19</v>
      </c>
      <c r="B13" s="42"/>
      <c r="C13" s="42"/>
      <c r="D13" s="42"/>
      <c r="E13" s="43"/>
      <c r="G13" s="21">
        <f>SUM(G3:G9)</f>
        <v>1456152.4156000002</v>
      </c>
    </row>
    <row r="14" spans="1:9" ht="20.25" thickTop="1" thickBot="1" x14ac:dyDescent="0.3">
      <c r="A14" s="17"/>
      <c r="B14" s="17"/>
      <c r="C14" s="17"/>
      <c r="D14" s="17"/>
      <c r="E14" s="17"/>
      <c r="G14" s="20"/>
    </row>
    <row r="15" spans="1:9" ht="20.25" thickTop="1" thickBot="1" x14ac:dyDescent="0.3">
      <c r="A15" s="41" t="s">
        <v>18</v>
      </c>
      <c r="B15" s="42"/>
      <c r="C15" s="42"/>
      <c r="D15" s="42"/>
      <c r="E15" s="43"/>
      <c r="G15" s="21">
        <f>AVERAGE(G3:G9)</f>
        <v>208021.77365714288</v>
      </c>
    </row>
    <row r="16" spans="1:9" ht="20.25" thickTop="1" thickBot="1" x14ac:dyDescent="0.3">
      <c r="A16" s="17"/>
      <c r="B16" s="17"/>
      <c r="C16" s="17"/>
      <c r="D16" s="17"/>
      <c r="E16" s="17"/>
      <c r="G16" s="20"/>
    </row>
    <row r="17" spans="1:7" ht="20.25" thickTop="1" thickBot="1" x14ac:dyDescent="0.3">
      <c r="A17" s="41" t="s">
        <v>17</v>
      </c>
      <c r="B17" s="42"/>
      <c r="C17" s="42"/>
      <c r="D17" s="42"/>
      <c r="E17" s="43"/>
      <c r="G17" s="21">
        <f>MAX(G3:G9)</f>
        <v>993934</v>
      </c>
    </row>
    <row r="18" spans="1:7" ht="20.25" thickTop="1" thickBot="1" x14ac:dyDescent="0.3">
      <c r="A18" s="17"/>
      <c r="B18" s="17"/>
      <c r="C18" s="17"/>
      <c r="D18" s="17"/>
      <c r="E18" s="17"/>
      <c r="G18" s="20"/>
    </row>
    <row r="19" spans="1:7" ht="20.25" thickTop="1" thickBot="1" x14ac:dyDescent="0.3">
      <c r="A19" s="41" t="s">
        <v>16</v>
      </c>
      <c r="B19" s="42"/>
      <c r="C19" s="42"/>
      <c r="D19" s="42"/>
      <c r="E19" s="43"/>
      <c r="G19" s="19">
        <f>MAX(E3:E9)</f>
        <v>12200</v>
      </c>
    </row>
    <row r="20" spans="1:7" ht="20.25" thickTop="1" thickBot="1" x14ac:dyDescent="0.3">
      <c r="A20" s="17"/>
      <c r="B20" s="17"/>
      <c r="C20" s="17"/>
      <c r="D20" s="17"/>
      <c r="E20" s="17"/>
      <c r="G20" s="22"/>
    </row>
    <row r="21" spans="1:7" ht="20.25" thickTop="1" thickBot="1" x14ac:dyDescent="0.3">
      <c r="A21" s="41" t="s">
        <v>15</v>
      </c>
      <c r="B21" s="42"/>
      <c r="C21" s="42"/>
      <c r="D21" s="42"/>
      <c r="E21" s="43"/>
      <c r="G21" s="23">
        <v>81.47</v>
      </c>
    </row>
    <row r="22" spans="1:7" ht="15.75" thickTop="1" x14ac:dyDescent="0.25"/>
  </sheetData>
  <mergeCells count="7">
    <mergeCell ref="A19:E19"/>
    <mergeCell ref="A21:E21"/>
    <mergeCell ref="A1:G1"/>
    <mergeCell ref="A11:E11"/>
    <mergeCell ref="A13:E13"/>
    <mergeCell ref="A15:E15"/>
    <mergeCell ref="A17:E17"/>
  </mergeCells>
  <pageMargins left="0.7" right="0.7" top="0.75" bottom="0.75" header="0.3" footer="0.3"/>
  <pageSetup paperSize="9" orientation="portrait" verticalDpi="0" r:id="rId1"/>
  <headerFooter>
    <oddHeader>&amp;CШильников Максим Юрьевич
ИСПк 203-52-00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699E-EAE9-447F-8DF7-9DBB5A34244F}">
  <dimension ref="A1:AY3"/>
  <sheetViews>
    <sheetView workbookViewId="0">
      <selection activeCell="N15" sqref="N15"/>
    </sheetView>
  </sheetViews>
  <sheetFormatPr defaultRowHeight="15" x14ac:dyDescent="0.25"/>
  <sheetData>
    <row r="1" spans="1:51" ht="15.75" x14ac:dyDescent="0.25">
      <c r="A1" s="25" t="s">
        <v>21</v>
      </c>
      <c r="B1" s="25">
        <v>0.1</v>
      </c>
      <c r="C1" s="25"/>
      <c r="D1" s="25" t="s">
        <v>22</v>
      </c>
      <c r="E1" s="25">
        <v>0.5</v>
      </c>
    </row>
    <row r="2" spans="1:51" ht="15.75" x14ac:dyDescent="0.25">
      <c r="A2" s="24" t="s">
        <v>23</v>
      </c>
      <c r="B2" s="24">
        <f>E1</f>
        <v>0.5</v>
      </c>
      <c r="C2" s="24">
        <f>$B$1+B2</f>
        <v>0.6</v>
      </c>
      <c r="D2" s="24">
        <f t="shared" ref="D2:AU2" si="0">$B$1+C2</f>
        <v>0.7</v>
      </c>
      <c r="E2" s="24">
        <f t="shared" si="0"/>
        <v>0.79999999999999993</v>
      </c>
      <c r="F2" s="24">
        <f t="shared" si="0"/>
        <v>0.89999999999999991</v>
      </c>
      <c r="G2" s="24">
        <f t="shared" si="0"/>
        <v>0.99999999999999989</v>
      </c>
      <c r="H2" s="24">
        <f t="shared" si="0"/>
        <v>1.0999999999999999</v>
      </c>
      <c r="I2" s="24">
        <f t="shared" si="0"/>
        <v>1.2</v>
      </c>
      <c r="J2" s="24">
        <f t="shared" si="0"/>
        <v>1.3</v>
      </c>
      <c r="K2" s="24">
        <f t="shared" si="0"/>
        <v>1.4000000000000001</v>
      </c>
      <c r="L2" s="24">
        <f t="shared" si="0"/>
        <v>1.5000000000000002</v>
      </c>
      <c r="M2" s="24">
        <f t="shared" si="0"/>
        <v>1.6000000000000003</v>
      </c>
      <c r="N2" s="24">
        <f t="shared" si="0"/>
        <v>1.7000000000000004</v>
      </c>
      <c r="O2" s="24">
        <f t="shared" si="0"/>
        <v>1.8000000000000005</v>
      </c>
      <c r="P2" s="24">
        <f t="shared" si="0"/>
        <v>1.9000000000000006</v>
      </c>
      <c r="Q2" s="24">
        <f t="shared" si="0"/>
        <v>2.0000000000000004</v>
      </c>
      <c r="R2" s="24">
        <f t="shared" si="0"/>
        <v>2.1000000000000005</v>
      </c>
      <c r="S2" s="24">
        <f t="shared" si="0"/>
        <v>2.2000000000000006</v>
      </c>
      <c r="T2" s="24">
        <f t="shared" si="0"/>
        <v>2.3000000000000007</v>
      </c>
      <c r="U2" s="24">
        <f t="shared" si="0"/>
        <v>2.4000000000000008</v>
      </c>
      <c r="V2" s="24">
        <f t="shared" si="0"/>
        <v>2.5000000000000009</v>
      </c>
      <c r="W2" s="24">
        <f t="shared" si="0"/>
        <v>2.600000000000001</v>
      </c>
      <c r="X2" s="24">
        <f t="shared" si="0"/>
        <v>2.7000000000000011</v>
      </c>
      <c r="Y2" s="24">
        <f t="shared" si="0"/>
        <v>2.8000000000000012</v>
      </c>
      <c r="Z2" s="24">
        <f t="shared" si="0"/>
        <v>2.9000000000000012</v>
      </c>
      <c r="AA2" s="24">
        <f t="shared" si="0"/>
        <v>3.0000000000000013</v>
      </c>
      <c r="AB2" s="24">
        <f t="shared" si="0"/>
        <v>3.1000000000000014</v>
      </c>
      <c r="AC2" s="24">
        <f t="shared" si="0"/>
        <v>3.2000000000000015</v>
      </c>
      <c r="AD2" s="24">
        <f t="shared" si="0"/>
        <v>3.3000000000000016</v>
      </c>
      <c r="AE2" s="24">
        <f t="shared" si="0"/>
        <v>3.4000000000000017</v>
      </c>
      <c r="AF2" s="24">
        <f t="shared" si="0"/>
        <v>3.5000000000000018</v>
      </c>
      <c r="AG2" s="24">
        <f t="shared" si="0"/>
        <v>3.6000000000000019</v>
      </c>
      <c r="AH2" s="24">
        <f t="shared" si="0"/>
        <v>3.700000000000002</v>
      </c>
      <c r="AI2" s="24">
        <f t="shared" si="0"/>
        <v>3.800000000000002</v>
      </c>
      <c r="AJ2" s="24">
        <f t="shared" si="0"/>
        <v>3.9000000000000021</v>
      </c>
      <c r="AK2" s="24">
        <f t="shared" si="0"/>
        <v>4.0000000000000018</v>
      </c>
      <c r="AL2" s="24">
        <f t="shared" si="0"/>
        <v>4.1000000000000014</v>
      </c>
      <c r="AM2" s="24">
        <f t="shared" si="0"/>
        <v>4.2000000000000011</v>
      </c>
      <c r="AN2" s="24">
        <f t="shared" si="0"/>
        <v>4.3000000000000007</v>
      </c>
      <c r="AO2" s="24">
        <f t="shared" si="0"/>
        <v>4.4000000000000004</v>
      </c>
      <c r="AP2" s="24">
        <f t="shared" si="0"/>
        <v>4.5</v>
      </c>
      <c r="AQ2" s="24">
        <f t="shared" si="0"/>
        <v>4.5999999999999996</v>
      </c>
      <c r="AR2" s="24">
        <f t="shared" si="0"/>
        <v>4.6999999999999993</v>
      </c>
      <c r="AS2" s="24">
        <f t="shared" si="0"/>
        <v>4.7999999999999989</v>
      </c>
      <c r="AT2" s="24">
        <f t="shared" si="0"/>
        <v>4.8999999999999986</v>
      </c>
      <c r="AU2" s="24">
        <f t="shared" si="0"/>
        <v>4.9999999999999982</v>
      </c>
      <c r="AV2" s="24"/>
      <c r="AW2" s="24"/>
      <c r="AX2" s="24"/>
      <c r="AY2" s="24"/>
    </row>
    <row r="3" spans="1:51" ht="15.75" x14ac:dyDescent="0.25">
      <c r="A3" s="24" t="s">
        <v>24</v>
      </c>
      <c r="B3" s="24">
        <f>SIN(B2) + 1</f>
        <v>1.479425538604203</v>
      </c>
      <c r="C3" s="24">
        <f t="shared" ref="C3:AU3" si="1">SIN(C2) + 1</f>
        <v>1.5646424733950353</v>
      </c>
      <c r="D3" s="24">
        <f t="shared" si="1"/>
        <v>1.644217687237691</v>
      </c>
      <c r="E3" s="24">
        <f t="shared" si="1"/>
        <v>1.7173560908995227</v>
      </c>
      <c r="F3" s="24">
        <f t="shared" si="1"/>
        <v>1.7833269096274833</v>
      </c>
      <c r="G3" s="24">
        <f t="shared" si="1"/>
        <v>1.8414709848078963</v>
      </c>
      <c r="H3" s="24">
        <f t="shared" si="1"/>
        <v>1.8912073600614354</v>
      </c>
      <c r="I3" s="24">
        <f t="shared" si="1"/>
        <v>1.9320390859672263</v>
      </c>
      <c r="J3" s="24">
        <f t="shared" si="1"/>
        <v>1.9635581854171931</v>
      </c>
      <c r="K3" s="24">
        <f t="shared" si="1"/>
        <v>1.9854497299884604</v>
      </c>
      <c r="L3" s="24">
        <f t="shared" si="1"/>
        <v>1.9974949866040546</v>
      </c>
      <c r="M3" s="24">
        <f t="shared" si="1"/>
        <v>1.999573603041505</v>
      </c>
      <c r="N3" s="24">
        <f t="shared" si="1"/>
        <v>1.9916648104524686</v>
      </c>
      <c r="O3" s="24">
        <f t="shared" si="1"/>
        <v>1.9738476308781951</v>
      </c>
      <c r="P3" s="24">
        <f t="shared" si="1"/>
        <v>1.9463000876874141</v>
      </c>
      <c r="Q3" s="24">
        <f t="shared" si="1"/>
        <v>1.9092974268256815</v>
      </c>
      <c r="R3" s="24">
        <f t="shared" si="1"/>
        <v>1.8632093666488734</v>
      </c>
      <c r="S3" s="24">
        <f t="shared" si="1"/>
        <v>1.8084964038195899</v>
      </c>
      <c r="T3" s="24">
        <f t="shared" si="1"/>
        <v>1.7457052121767198</v>
      </c>
      <c r="U3" s="24">
        <f t="shared" si="1"/>
        <v>1.6754631805511502</v>
      </c>
      <c r="V3" s="24">
        <f t="shared" si="1"/>
        <v>1.5984721441039558</v>
      </c>
      <c r="W3" s="24">
        <f t="shared" si="1"/>
        <v>1.5155013718214634</v>
      </c>
      <c r="X3" s="24">
        <f t="shared" si="1"/>
        <v>1.4273798802338289</v>
      </c>
      <c r="Y3" s="24">
        <f t="shared" si="1"/>
        <v>1.3349881501559038</v>
      </c>
      <c r="Z3" s="24">
        <f t="shared" si="1"/>
        <v>1.239249329213981</v>
      </c>
      <c r="AA3" s="24">
        <f t="shared" si="1"/>
        <v>1.141120008059866</v>
      </c>
      <c r="AB3" s="24">
        <f t="shared" si="1"/>
        <v>1.0415806624332891</v>
      </c>
      <c r="AC3" s="24">
        <f t="shared" si="1"/>
        <v>0.9416258565724186</v>
      </c>
      <c r="AD3" s="24">
        <f t="shared" si="1"/>
        <v>0.84225430585674999</v>
      </c>
      <c r="AE3" s="24">
        <f t="shared" si="1"/>
        <v>0.744458897973167</v>
      </c>
      <c r="AF3" s="24">
        <f t="shared" si="1"/>
        <v>0.64921677231037855</v>
      </c>
      <c r="AG3" s="24">
        <f t="shared" si="1"/>
        <v>0.55747955670514593</v>
      </c>
      <c r="AH3" s="24">
        <f t="shared" si="1"/>
        <v>0.47016385909150515</v>
      </c>
      <c r="AI3" s="24">
        <f t="shared" si="1"/>
        <v>0.38814210905727931</v>
      </c>
      <c r="AJ3" s="24">
        <f t="shared" si="1"/>
        <v>0.31223384081602468</v>
      </c>
      <c r="AK3" s="24">
        <f t="shared" si="1"/>
        <v>0.24319750469207058</v>
      </c>
      <c r="AL3" s="24">
        <f t="shared" si="1"/>
        <v>0.18172288893558863</v>
      </c>
      <c r="AM3" s="24">
        <f t="shared" si="1"/>
        <v>0.12842422758641137</v>
      </c>
      <c r="AN3" s="24">
        <f t="shared" si="1"/>
        <v>8.3834063250544766E-2</v>
      </c>
      <c r="AO3" s="24">
        <f t="shared" si="1"/>
        <v>4.8397926110483991E-2</v>
      </c>
      <c r="AP3" s="24">
        <f t="shared" si="1"/>
        <v>2.2469882334902991E-2</v>
      </c>
      <c r="AQ3" s="24">
        <f t="shared" si="1"/>
        <v>6.3089963665355908E-3</v>
      </c>
      <c r="AR3" s="24">
        <f t="shared" si="1"/>
        <v>7.6742435899168626E-5</v>
      </c>
      <c r="AS3" s="24">
        <f t="shared" si="1"/>
        <v>3.8353911641592076E-3</v>
      </c>
      <c r="AT3" s="24">
        <f t="shared" si="1"/>
        <v>1.7547387375667189E-2</v>
      </c>
      <c r="AU3" s="24">
        <f t="shared" si="1"/>
        <v>4.1075725336860991E-2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F91E-FD1D-4626-A187-F1006800E00C}">
  <dimension ref="A1:K12"/>
  <sheetViews>
    <sheetView workbookViewId="0">
      <selection activeCell="L5" sqref="L5"/>
    </sheetView>
  </sheetViews>
  <sheetFormatPr defaultRowHeight="15" x14ac:dyDescent="0.25"/>
  <cols>
    <col min="3" max="3" width="18.140625" customWidth="1"/>
  </cols>
  <sheetData>
    <row r="1" spans="1:11" ht="195" customHeight="1" thickBot="1" x14ac:dyDescent="0.3">
      <c r="A1" s="31" t="s">
        <v>25</v>
      </c>
      <c r="B1" s="32" t="s">
        <v>26</v>
      </c>
      <c r="C1" s="33" t="s">
        <v>27</v>
      </c>
      <c r="D1" s="32" t="s">
        <v>28</v>
      </c>
      <c r="E1" s="32" t="s">
        <v>29</v>
      </c>
      <c r="F1" s="32" t="s">
        <v>30</v>
      </c>
      <c r="G1" s="32" t="s">
        <v>31</v>
      </c>
      <c r="H1" s="32" t="s">
        <v>32</v>
      </c>
      <c r="I1" s="32" t="s">
        <v>33</v>
      </c>
      <c r="J1" s="34" t="s">
        <v>34</v>
      </c>
      <c r="K1" s="26"/>
    </row>
    <row r="2" spans="1:11" ht="15.75" thickBot="1" x14ac:dyDescent="0.3">
      <c r="A2" s="27">
        <v>1</v>
      </c>
      <c r="B2" s="28">
        <v>111</v>
      </c>
      <c r="C2" s="28" t="s">
        <v>35</v>
      </c>
      <c r="D2" s="35">
        <f ca="1">RANDBETWEEN(1, 100)</f>
        <v>21</v>
      </c>
      <c r="E2" s="35">
        <f t="shared" ref="E2:J11" ca="1" si="0">RANDBETWEEN(1, 100)</f>
        <v>74</v>
      </c>
      <c r="F2" s="35">
        <f t="shared" ca="1" si="0"/>
        <v>62</v>
      </c>
      <c r="G2" s="35">
        <f t="shared" ca="1" si="0"/>
        <v>44</v>
      </c>
      <c r="H2" s="35">
        <f t="shared" ca="1" si="0"/>
        <v>55</v>
      </c>
      <c r="I2" s="35">
        <f t="shared" ca="1" si="0"/>
        <v>37</v>
      </c>
      <c r="J2" s="36">
        <f t="shared" ca="1" si="0"/>
        <v>94</v>
      </c>
    </row>
    <row r="3" spans="1:11" ht="15.75" thickBot="1" x14ac:dyDescent="0.3">
      <c r="A3" s="27">
        <v>2</v>
      </c>
      <c r="B3" s="28">
        <v>125</v>
      </c>
      <c r="C3" s="28" t="s">
        <v>36</v>
      </c>
      <c r="D3" s="35">
        <f t="shared" ref="D3:D11" ca="1" si="1">RANDBETWEEN(1, 100)</f>
        <v>48</v>
      </c>
      <c r="E3" s="35">
        <f t="shared" ca="1" si="0"/>
        <v>72</v>
      </c>
      <c r="F3" s="35">
        <f t="shared" ca="1" si="0"/>
        <v>57</v>
      </c>
      <c r="G3" s="35">
        <f t="shared" ca="1" si="0"/>
        <v>41</v>
      </c>
      <c r="H3" s="35">
        <f t="shared" ca="1" si="0"/>
        <v>80</v>
      </c>
      <c r="I3" s="35">
        <f t="shared" ca="1" si="0"/>
        <v>23</v>
      </c>
      <c r="J3" s="36">
        <f t="shared" ca="1" si="0"/>
        <v>92</v>
      </c>
    </row>
    <row r="4" spans="1:11" ht="15.75" thickBot="1" x14ac:dyDescent="0.3">
      <c r="A4" s="27">
        <v>3</v>
      </c>
      <c r="B4" s="28">
        <v>104</v>
      </c>
      <c r="C4" s="28" t="s">
        <v>37</v>
      </c>
      <c r="D4" s="35">
        <f t="shared" ca="1" si="1"/>
        <v>95</v>
      </c>
      <c r="E4" s="35">
        <f t="shared" ca="1" si="0"/>
        <v>76</v>
      </c>
      <c r="F4" s="35">
        <f t="shared" ca="1" si="0"/>
        <v>23</v>
      </c>
      <c r="G4" s="35">
        <f t="shared" ca="1" si="0"/>
        <v>40</v>
      </c>
      <c r="H4" s="35">
        <f t="shared" ca="1" si="0"/>
        <v>78</v>
      </c>
      <c r="I4" s="35">
        <f t="shared" ca="1" si="0"/>
        <v>76</v>
      </c>
      <c r="J4" s="36">
        <f t="shared" ca="1" si="0"/>
        <v>21</v>
      </c>
    </row>
    <row r="5" spans="1:11" ht="15.75" thickBot="1" x14ac:dyDescent="0.3">
      <c r="A5" s="27">
        <v>4</v>
      </c>
      <c r="B5" s="28">
        <v>103</v>
      </c>
      <c r="C5" s="28" t="s">
        <v>38</v>
      </c>
      <c r="D5" s="35">
        <f t="shared" ca="1" si="1"/>
        <v>25</v>
      </c>
      <c r="E5" s="35">
        <f t="shared" ca="1" si="0"/>
        <v>16</v>
      </c>
      <c r="F5" s="35">
        <f t="shared" ca="1" si="0"/>
        <v>86</v>
      </c>
      <c r="G5" s="35">
        <f t="shared" ca="1" si="0"/>
        <v>38</v>
      </c>
      <c r="H5" s="35">
        <f t="shared" ca="1" si="0"/>
        <v>78</v>
      </c>
      <c r="I5" s="35">
        <f t="shared" ca="1" si="0"/>
        <v>67</v>
      </c>
      <c r="J5" s="36">
        <f t="shared" ca="1" si="0"/>
        <v>50</v>
      </c>
    </row>
    <row r="6" spans="1:11" ht="15.75" thickBot="1" x14ac:dyDescent="0.3">
      <c r="A6" s="27">
        <v>5</v>
      </c>
      <c r="B6" s="28">
        <v>102</v>
      </c>
      <c r="C6" s="28" t="s">
        <v>39</v>
      </c>
      <c r="D6" s="35">
        <f t="shared" ca="1" si="1"/>
        <v>25</v>
      </c>
      <c r="E6" s="35">
        <f t="shared" ca="1" si="0"/>
        <v>55</v>
      </c>
      <c r="F6" s="35">
        <f t="shared" ca="1" si="0"/>
        <v>41</v>
      </c>
      <c r="G6" s="35">
        <f t="shared" ca="1" si="0"/>
        <v>93</v>
      </c>
      <c r="H6" s="35">
        <f t="shared" ca="1" si="0"/>
        <v>1</v>
      </c>
      <c r="I6" s="35">
        <f t="shared" ca="1" si="0"/>
        <v>6</v>
      </c>
      <c r="J6" s="36">
        <f t="shared" ca="1" si="0"/>
        <v>93</v>
      </c>
    </row>
    <row r="7" spans="1:11" ht="15.75" thickBot="1" x14ac:dyDescent="0.3">
      <c r="A7" s="27">
        <v>6</v>
      </c>
      <c r="B7" s="28">
        <v>112</v>
      </c>
      <c r="C7" s="28" t="s">
        <v>40</v>
      </c>
      <c r="D7" s="35">
        <f t="shared" ca="1" si="1"/>
        <v>7</v>
      </c>
      <c r="E7" s="35">
        <f t="shared" ca="1" si="0"/>
        <v>10</v>
      </c>
      <c r="F7" s="35">
        <f t="shared" ca="1" si="0"/>
        <v>92</v>
      </c>
      <c r="G7" s="35">
        <f t="shared" ca="1" si="0"/>
        <v>86</v>
      </c>
      <c r="H7" s="35">
        <f t="shared" ca="1" si="0"/>
        <v>96</v>
      </c>
      <c r="I7" s="35">
        <f t="shared" ca="1" si="0"/>
        <v>87</v>
      </c>
      <c r="J7" s="36">
        <f t="shared" ca="1" si="0"/>
        <v>58</v>
      </c>
    </row>
    <row r="8" spans="1:11" ht="15.75" thickBot="1" x14ac:dyDescent="0.3">
      <c r="A8" s="27">
        <v>7</v>
      </c>
      <c r="B8" s="28">
        <v>109</v>
      </c>
      <c r="C8" s="28" t="s">
        <v>41</v>
      </c>
      <c r="D8" s="35">
        <f t="shared" ca="1" si="1"/>
        <v>54</v>
      </c>
      <c r="E8" s="35">
        <f t="shared" ca="1" si="0"/>
        <v>68</v>
      </c>
      <c r="F8" s="35">
        <f t="shared" ca="1" si="0"/>
        <v>50</v>
      </c>
      <c r="G8" s="35">
        <f t="shared" ca="1" si="0"/>
        <v>44</v>
      </c>
      <c r="H8" s="35">
        <f t="shared" ca="1" si="0"/>
        <v>17</v>
      </c>
      <c r="I8" s="35">
        <f t="shared" ca="1" si="0"/>
        <v>5</v>
      </c>
      <c r="J8" s="36">
        <f t="shared" ca="1" si="0"/>
        <v>79</v>
      </c>
    </row>
    <row r="9" spans="1:11" ht="15.75" thickBot="1" x14ac:dyDescent="0.3">
      <c r="A9" s="27">
        <v>8</v>
      </c>
      <c r="B9" s="28">
        <v>104</v>
      </c>
      <c r="C9" s="28" t="s">
        <v>42</v>
      </c>
      <c r="D9" s="35">
        <f t="shared" ca="1" si="1"/>
        <v>14</v>
      </c>
      <c r="E9" s="35">
        <f t="shared" ca="1" si="0"/>
        <v>84</v>
      </c>
      <c r="F9" s="35">
        <f t="shared" ca="1" si="0"/>
        <v>29</v>
      </c>
      <c r="G9" s="35">
        <f t="shared" ca="1" si="0"/>
        <v>28</v>
      </c>
      <c r="H9" s="35">
        <f t="shared" ca="1" si="0"/>
        <v>59</v>
      </c>
      <c r="I9" s="35">
        <f t="shared" ca="1" si="0"/>
        <v>81</v>
      </c>
      <c r="J9" s="36">
        <f t="shared" ca="1" si="0"/>
        <v>72</v>
      </c>
    </row>
    <row r="10" spans="1:11" ht="15.75" thickBot="1" x14ac:dyDescent="0.3">
      <c r="A10" s="27">
        <v>9</v>
      </c>
      <c r="B10" s="28">
        <v>102</v>
      </c>
      <c r="C10" s="28" t="s">
        <v>43</v>
      </c>
      <c r="D10" s="35">
        <f t="shared" ca="1" si="1"/>
        <v>98</v>
      </c>
      <c r="E10" s="35">
        <f t="shared" ca="1" si="0"/>
        <v>42</v>
      </c>
      <c r="F10" s="35">
        <f t="shared" ca="1" si="0"/>
        <v>9</v>
      </c>
      <c r="G10" s="35">
        <f t="shared" ca="1" si="0"/>
        <v>41</v>
      </c>
      <c r="H10" s="35">
        <f t="shared" ca="1" si="0"/>
        <v>45</v>
      </c>
      <c r="I10" s="35">
        <f t="shared" ca="1" si="0"/>
        <v>65</v>
      </c>
      <c r="J10" s="36">
        <f t="shared" ca="1" si="0"/>
        <v>45</v>
      </c>
    </row>
    <row r="11" spans="1:11" ht="15.75" thickBot="1" x14ac:dyDescent="0.3">
      <c r="A11" s="29">
        <v>10</v>
      </c>
      <c r="B11" s="30">
        <v>103</v>
      </c>
      <c r="C11" s="30" t="s">
        <v>44</v>
      </c>
      <c r="D11" s="37">
        <f t="shared" ca="1" si="1"/>
        <v>97</v>
      </c>
      <c r="E11" s="37">
        <f t="shared" ca="1" si="0"/>
        <v>11</v>
      </c>
      <c r="F11" s="37">
        <f t="shared" ca="1" si="0"/>
        <v>19</v>
      </c>
      <c r="G11" s="37">
        <f t="shared" ca="1" si="0"/>
        <v>34</v>
      </c>
      <c r="H11" s="37">
        <f t="shared" ca="1" si="0"/>
        <v>63</v>
      </c>
      <c r="I11" s="37">
        <f t="shared" ca="1" si="0"/>
        <v>58</v>
      </c>
      <c r="J11" s="38">
        <f t="shared" ca="1" si="0"/>
        <v>62</v>
      </c>
    </row>
    <row r="12" spans="1:11" ht="15.75" thickTop="1" x14ac:dyDescent="0.25"/>
  </sheetData>
  <conditionalFormatting sqref="D2:J11">
    <cfRule type="cellIs" dxfId="10" priority="1" operator="lessThan">
      <formula>51</formula>
    </cfRule>
    <cfRule type="cellIs" dxfId="9" priority="2" operator="greaterThan">
      <formula>86</formula>
    </cfRule>
    <cfRule type="cellIs" dxfId="8" priority="3" operator="between">
      <formula>71</formula>
      <formula>85</formula>
    </cfRule>
    <cfRule type="cellIs" dxfId="7" priority="4" operator="between">
      <formula>51</formula>
      <formula>70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A9F6-94BC-40E8-9B8D-9CA5711B3D2D}">
  <dimension ref="A1:A7"/>
  <sheetViews>
    <sheetView workbookViewId="0">
      <selection activeCell="A4" sqref="A4"/>
    </sheetView>
  </sheetViews>
  <sheetFormatPr defaultRowHeight="15" x14ac:dyDescent="0.25"/>
  <cols>
    <col min="1" max="1" width="14.28515625" bestFit="1" customWidth="1"/>
  </cols>
  <sheetData>
    <row r="1" spans="1:1" x14ac:dyDescent="0.25">
      <c r="A1" s="40">
        <f ca="1">TODAY()</f>
        <v>45973</v>
      </c>
    </row>
    <row r="2" spans="1:1" x14ac:dyDescent="0.25">
      <c r="A2" s="18">
        <f ca="1">YEAR(TODAY())</f>
        <v>2025</v>
      </c>
    </row>
    <row r="3" spans="1:1" x14ac:dyDescent="0.25">
      <c r="A3" s="18">
        <f ca="1">DAY(TODAY())</f>
        <v>12</v>
      </c>
    </row>
    <row r="4" spans="1:1" x14ac:dyDescent="0.25">
      <c r="A4" s="18" t="str">
        <f ca="1">TEXT(TODAY(),"ДДДД")</f>
        <v>среда</v>
      </c>
    </row>
    <row r="5" spans="1:1" x14ac:dyDescent="0.25">
      <c r="A5" s="40">
        <v>39542</v>
      </c>
    </row>
    <row r="6" spans="1:1" x14ac:dyDescent="0.25">
      <c r="A6" s="18">
        <f ca="1">YEAR(TODAY()) - YEAR(A5)</f>
        <v>17</v>
      </c>
    </row>
    <row r="7" spans="1:1" x14ac:dyDescent="0.25">
      <c r="A7" s="40">
        <f ca="1">NOW()</f>
        <v>45973.059380787039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C508-0A5A-4411-A338-F1561AA39531}">
  <dimension ref="A1:B1"/>
  <sheetViews>
    <sheetView workbookViewId="0"/>
  </sheetViews>
  <sheetFormatPr defaultRowHeight="15" x14ac:dyDescent="0.25"/>
  <cols>
    <col min="1" max="1" width="10.140625" bestFit="1" customWidth="1"/>
    <col min="2" max="2" width="14.28515625" bestFit="1" customWidth="1"/>
  </cols>
  <sheetData>
    <row r="1" spans="1:2" x14ac:dyDescent="0.25">
      <c r="A1" s="39">
        <f ca="1">NOW()</f>
        <v>45973.059380787039</v>
      </c>
      <c r="B1" s="39" t="str">
        <f ca="1" xml:space="preserve"> IF(TIME(13,0,0)&lt;=A1&lt;=TIME(14,0,0),"Обед","Работаем")</f>
        <v>Работаем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F9B8-BD7C-4A57-BDEC-33D15D957C09}">
  <dimension ref="A1:G12"/>
  <sheetViews>
    <sheetView workbookViewId="0">
      <selection activeCell="G4" sqref="G4"/>
    </sheetView>
  </sheetViews>
  <sheetFormatPr defaultRowHeight="15" x14ac:dyDescent="0.25"/>
  <cols>
    <col min="1" max="1" width="3.85546875" bestFit="1" customWidth="1"/>
    <col min="2" max="2" width="11.5703125" bestFit="1" customWidth="1"/>
    <col min="3" max="3" width="15" bestFit="1" customWidth="1"/>
    <col min="4" max="4" width="10.85546875" bestFit="1" customWidth="1"/>
    <col min="5" max="5" width="17.28515625" bestFit="1" customWidth="1"/>
    <col min="6" max="6" width="9" bestFit="1" customWidth="1"/>
    <col min="7" max="7" width="15.28515625" customWidth="1"/>
  </cols>
  <sheetData>
    <row r="1" spans="1:7" ht="38.25" thickBot="1" x14ac:dyDescent="0.3">
      <c r="A1" s="45" t="s">
        <v>1</v>
      </c>
      <c r="B1" s="45" t="s">
        <v>45</v>
      </c>
      <c r="C1" s="45" t="s">
        <v>46</v>
      </c>
      <c r="D1" s="46" t="s">
        <v>47</v>
      </c>
      <c r="E1" s="46" t="s">
        <v>48</v>
      </c>
      <c r="F1" s="45" t="s">
        <v>49</v>
      </c>
      <c r="G1" s="47" t="s">
        <v>50</v>
      </c>
    </row>
    <row r="2" spans="1:7" ht="19.5" thickBot="1" x14ac:dyDescent="0.35">
      <c r="A2" s="49">
        <v>1</v>
      </c>
      <c r="B2" s="51">
        <f ca="1">RANDBETWEEN(2,5)</f>
        <v>4</v>
      </c>
      <c r="C2" s="51">
        <f t="shared" ref="C2:E11" ca="1" si="0">RANDBETWEEN(2,5)</f>
        <v>4</v>
      </c>
      <c r="D2" s="51">
        <f t="shared" ca="1" si="0"/>
        <v>4</v>
      </c>
      <c r="E2" s="51">
        <f t="shared" ca="1" si="0"/>
        <v>4</v>
      </c>
      <c r="F2" s="51">
        <f ca="1">B2+C2+D2+E2</f>
        <v>16</v>
      </c>
      <c r="G2" s="50" t="str">
        <f ca="1">IF(AND(C2&gt;=4,F2&gt;=$E$12),"да","нет")</f>
        <v>да</v>
      </c>
    </row>
    <row r="3" spans="1:7" ht="19.5" thickBot="1" x14ac:dyDescent="0.35">
      <c r="A3" s="49">
        <v>2</v>
      </c>
      <c r="B3" s="51">
        <f t="shared" ref="B3:B11" ca="1" si="1">RANDBETWEEN(2,5)</f>
        <v>2</v>
      </c>
      <c r="C3" s="51">
        <f t="shared" ca="1" si="0"/>
        <v>5</v>
      </c>
      <c r="D3" s="51">
        <f t="shared" ca="1" si="0"/>
        <v>3</v>
      </c>
      <c r="E3" s="51">
        <f t="shared" ca="1" si="0"/>
        <v>4</v>
      </c>
      <c r="F3" s="51">
        <f t="shared" ref="F3:F11" ca="1" si="2">B3+C3+D3+E3</f>
        <v>14</v>
      </c>
      <c r="G3" s="50" t="str">
        <f t="shared" ref="G3:G11" ca="1" si="3">IF(AND(C3&gt;=4,F3&gt;=$E$12),"да","нет")</f>
        <v>да</v>
      </c>
    </row>
    <row r="4" spans="1:7" ht="19.5" thickBot="1" x14ac:dyDescent="0.35">
      <c r="A4" s="49">
        <v>3</v>
      </c>
      <c r="B4" s="51">
        <f t="shared" ca="1" si="1"/>
        <v>2</v>
      </c>
      <c r="C4" s="51">
        <f t="shared" ca="1" si="0"/>
        <v>5</v>
      </c>
      <c r="D4" s="51">
        <f t="shared" ca="1" si="0"/>
        <v>2</v>
      </c>
      <c r="E4" s="51">
        <f t="shared" ca="1" si="0"/>
        <v>4</v>
      </c>
      <c r="F4" s="51">
        <f t="shared" ca="1" si="2"/>
        <v>13</v>
      </c>
      <c r="G4" s="50" t="str">
        <f t="shared" ca="1" si="3"/>
        <v>да</v>
      </c>
    </row>
    <row r="5" spans="1:7" ht="19.5" thickBot="1" x14ac:dyDescent="0.35">
      <c r="A5" s="49">
        <v>4</v>
      </c>
      <c r="B5" s="51">
        <f t="shared" ca="1" si="1"/>
        <v>5</v>
      </c>
      <c r="C5" s="51">
        <f t="shared" ca="1" si="0"/>
        <v>2</v>
      </c>
      <c r="D5" s="51">
        <f t="shared" ca="1" si="0"/>
        <v>5</v>
      </c>
      <c r="E5" s="51">
        <f t="shared" ca="1" si="0"/>
        <v>3</v>
      </c>
      <c r="F5" s="51">
        <f t="shared" ca="1" si="2"/>
        <v>15</v>
      </c>
      <c r="G5" s="50" t="str">
        <f t="shared" ca="1" si="3"/>
        <v>нет</v>
      </c>
    </row>
    <row r="6" spans="1:7" ht="19.5" thickBot="1" x14ac:dyDescent="0.35">
      <c r="A6" s="49">
        <v>5</v>
      </c>
      <c r="B6" s="51">
        <f t="shared" ca="1" si="1"/>
        <v>4</v>
      </c>
      <c r="C6" s="51">
        <f t="shared" ca="1" si="0"/>
        <v>2</v>
      </c>
      <c r="D6" s="51">
        <f t="shared" ca="1" si="0"/>
        <v>5</v>
      </c>
      <c r="E6" s="51">
        <f t="shared" ca="1" si="0"/>
        <v>3</v>
      </c>
      <c r="F6" s="51">
        <f t="shared" ca="1" si="2"/>
        <v>14</v>
      </c>
      <c r="G6" s="50" t="str">
        <f t="shared" ca="1" si="3"/>
        <v>нет</v>
      </c>
    </row>
    <row r="7" spans="1:7" ht="19.5" thickBot="1" x14ac:dyDescent="0.35">
      <c r="A7" s="49">
        <v>6</v>
      </c>
      <c r="B7" s="51">
        <f t="shared" ca="1" si="1"/>
        <v>4</v>
      </c>
      <c r="C7" s="51">
        <f t="shared" ca="1" si="0"/>
        <v>2</v>
      </c>
      <c r="D7" s="51">
        <f t="shared" ca="1" si="0"/>
        <v>5</v>
      </c>
      <c r="E7" s="51">
        <f t="shared" ca="1" si="0"/>
        <v>2</v>
      </c>
      <c r="F7" s="51">
        <f t="shared" ca="1" si="2"/>
        <v>13</v>
      </c>
      <c r="G7" s="50" t="str">
        <f ca="1">IF(AND(C7&gt;=4,F7&gt;=$E$12),"да","нет")</f>
        <v>нет</v>
      </c>
    </row>
    <row r="8" spans="1:7" ht="19.5" thickBot="1" x14ac:dyDescent="0.35">
      <c r="A8" s="49">
        <v>7</v>
      </c>
      <c r="B8" s="51">
        <f t="shared" ca="1" si="1"/>
        <v>2</v>
      </c>
      <c r="C8" s="51">
        <f t="shared" ca="1" si="0"/>
        <v>3</v>
      </c>
      <c r="D8" s="51">
        <f t="shared" ca="1" si="0"/>
        <v>3</v>
      </c>
      <c r="E8" s="51">
        <f t="shared" ca="1" si="0"/>
        <v>4</v>
      </c>
      <c r="F8" s="51">
        <f t="shared" ca="1" si="2"/>
        <v>12</v>
      </c>
      <c r="G8" s="50" t="str">
        <f t="shared" ca="1" si="3"/>
        <v>нет</v>
      </c>
    </row>
    <row r="9" spans="1:7" ht="19.5" thickBot="1" x14ac:dyDescent="0.35">
      <c r="A9" s="49">
        <v>8</v>
      </c>
      <c r="B9" s="51">
        <f t="shared" ca="1" si="1"/>
        <v>5</v>
      </c>
      <c r="C9" s="51">
        <f t="shared" ca="1" si="0"/>
        <v>5</v>
      </c>
      <c r="D9" s="51">
        <f t="shared" ca="1" si="0"/>
        <v>5</v>
      </c>
      <c r="E9" s="51">
        <f t="shared" ca="1" si="0"/>
        <v>3</v>
      </c>
      <c r="F9" s="51">
        <f t="shared" ca="1" si="2"/>
        <v>18</v>
      </c>
      <c r="G9" s="50" t="str">
        <f t="shared" ca="1" si="3"/>
        <v>да</v>
      </c>
    </row>
    <row r="10" spans="1:7" ht="19.5" thickBot="1" x14ac:dyDescent="0.35">
      <c r="A10" s="49">
        <v>9</v>
      </c>
      <c r="B10" s="51">
        <f t="shared" ca="1" si="1"/>
        <v>3</v>
      </c>
      <c r="C10" s="51">
        <f t="shared" ca="1" si="0"/>
        <v>3</v>
      </c>
      <c r="D10" s="51">
        <f t="shared" ca="1" si="0"/>
        <v>5</v>
      </c>
      <c r="E10" s="51">
        <f t="shared" ca="1" si="0"/>
        <v>5</v>
      </c>
      <c r="F10" s="51">
        <f t="shared" ca="1" si="2"/>
        <v>16</v>
      </c>
      <c r="G10" s="50" t="str">
        <f t="shared" ca="1" si="3"/>
        <v>нет</v>
      </c>
    </row>
    <row r="11" spans="1:7" ht="19.5" thickBot="1" x14ac:dyDescent="0.35">
      <c r="A11" s="49">
        <v>10</v>
      </c>
      <c r="B11" s="51">
        <f t="shared" ca="1" si="1"/>
        <v>4</v>
      </c>
      <c r="C11" s="51">
        <f t="shared" ca="1" si="0"/>
        <v>2</v>
      </c>
      <c r="D11" s="51">
        <f t="shared" ca="1" si="0"/>
        <v>2</v>
      </c>
      <c r="E11" s="51">
        <f t="shared" ca="1" si="0"/>
        <v>5</v>
      </c>
      <c r="F11" s="51">
        <f t="shared" ca="1" si="2"/>
        <v>13</v>
      </c>
      <c r="G11" s="50" t="str">
        <f t="shared" ca="1" si="3"/>
        <v>нет</v>
      </c>
    </row>
    <row r="12" spans="1:7" ht="19.5" thickBot="1" x14ac:dyDescent="0.3">
      <c r="C12" s="48" t="s">
        <v>51</v>
      </c>
      <c r="D12" s="48"/>
      <c r="E12" s="45">
        <v>13</v>
      </c>
    </row>
  </sheetData>
  <mergeCells count="1">
    <mergeCell ref="C12:D1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CBED-B335-4E19-9D48-D672E35BACD3}">
  <dimension ref="A1:I15"/>
  <sheetViews>
    <sheetView tabSelected="1" workbookViewId="0">
      <selection activeCell="J12" sqref="J12"/>
    </sheetView>
  </sheetViews>
  <sheetFormatPr defaultRowHeight="15" x14ac:dyDescent="0.25"/>
  <cols>
    <col min="1" max="1" width="6.7109375" bestFit="1" customWidth="1"/>
    <col min="2" max="2" width="43" customWidth="1"/>
    <col min="3" max="3" width="14.42578125" customWidth="1"/>
    <col min="4" max="4" width="23.7109375" customWidth="1"/>
    <col min="5" max="5" width="21.7109375" bestFit="1" customWidth="1"/>
    <col min="6" max="6" width="17.85546875" customWidth="1"/>
    <col min="7" max="7" width="10" customWidth="1"/>
    <col min="8" max="8" width="15.42578125" bestFit="1" customWidth="1"/>
    <col min="9" max="9" width="23.28515625" bestFit="1" customWidth="1"/>
  </cols>
  <sheetData>
    <row r="1" spans="1:9" ht="38.25" thickBot="1" x14ac:dyDescent="0.3">
      <c r="A1" s="52" t="s">
        <v>25</v>
      </c>
      <c r="B1" s="52" t="s">
        <v>52</v>
      </c>
      <c r="C1" s="52" t="s">
        <v>53</v>
      </c>
      <c r="D1" s="61" t="s">
        <v>54</v>
      </c>
      <c r="E1" s="62" t="s">
        <v>66</v>
      </c>
      <c r="F1" s="52" t="s">
        <v>67</v>
      </c>
      <c r="H1" s="70"/>
      <c r="I1" s="71"/>
    </row>
    <row r="2" spans="1:9" ht="19.5" thickBot="1" x14ac:dyDescent="0.35">
      <c r="A2" s="52">
        <v>1</v>
      </c>
      <c r="B2" s="53" t="s">
        <v>55</v>
      </c>
      <c r="C2" s="54">
        <v>45385</v>
      </c>
      <c r="D2" s="64">
        <f>MONTH(C2)</f>
        <v>4</v>
      </c>
      <c r="E2" s="65">
        <f ca="1">(TODAY() - C2 )/365</f>
        <v>1.6109589041095891</v>
      </c>
      <c r="F2" s="69">
        <f ca="1">_xlfn.IFS(E2&lt;=3,$E$14,E2&lt;=8,$E$14*0.8,E2&lt;=17,$E$14*0.6,E2&gt;17,"нет")</f>
        <v>12345.78</v>
      </c>
      <c r="G2" s="63"/>
      <c r="H2" s="74" t="s">
        <v>45</v>
      </c>
      <c r="I2" s="75" t="s">
        <v>76</v>
      </c>
    </row>
    <row r="3" spans="1:9" ht="19.5" thickBot="1" x14ac:dyDescent="0.35">
      <c r="A3" s="55">
        <v>2</v>
      </c>
      <c r="B3" s="56" t="s">
        <v>61</v>
      </c>
      <c r="C3" s="57">
        <v>44666</v>
      </c>
      <c r="D3" s="64">
        <f t="shared" ref="D3:D11" si="0">MONTH(C3)</f>
        <v>4</v>
      </c>
      <c r="E3" s="65">
        <f t="shared" ref="E3:E11" ca="1" si="1">(TODAY() - C3 )/365.25</f>
        <v>3.5783709787816562</v>
      </c>
      <c r="F3" s="69">
        <f ca="1">_xlfn.IFS(E3&lt;=3,$E$14,E3&lt;=8,$E$14*0.8,E3&lt;=17,$E$14*0.6,E3&gt;17,"нет")</f>
        <v>9876.6240000000016</v>
      </c>
      <c r="H3" s="72" t="s">
        <v>72</v>
      </c>
      <c r="I3" s="76">
        <f ca="1">SUMIF(B2:B11,"Иванов*",F2:F11)</f>
        <v>27160.716</v>
      </c>
    </row>
    <row r="4" spans="1:9" ht="19.5" thickBot="1" x14ac:dyDescent="0.35">
      <c r="A4" s="55">
        <v>3</v>
      </c>
      <c r="B4" s="56" t="s">
        <v>56</v>
      </c>
      <c r="C4" s="57">
        <v>43565</v>
      </c>
      <c r="D4" s="64">
        <f t="shared" si="0"/>
        <v>4</v>
      </c>
      <c r="E4" s="65">
        <f t="shared" ca="1" si="1"/>
        <v>6.5927446954141002</v>
      </c>
      <c r="F4" s="69">
        <f ca="1">_xlfn.IFS(E4&lt;=3,$E$14,E4&lt;=8,$E$14*0.8,E4&lt;=17,$E$14*0.6,E4&gt;17,"нет")</f>
        <v>9876.6240000000016</v>
      </c>
      <c r="H4" s="72" t="s">
        <v>75</v>
      </c>
      <c r="I4" s="76">
        <f ca="1">SUMIF(B2:B11,"Лебедева*",F2:F11)</f>
        <v>17284.092000000001</v>
      </c>
    </row>
    <row r="5" spans="1:9" ht="19.5" thickBot="1" x14ac:dyDescent="0.35">
      <c r="A5" s="52">
        <v>4</v>
      </c>
      <c r="B5" s="58" t="s">
        <v>63</v>
      </c>
      <c r="C5" s="57">
        <v>42877</v>
      </c>
      <c r="D5" s="64">
        <f t="shared" si="0"/>
        <v>5</v>
      </c>
      <c r="E5" s="65">
        <f t="shared" ca="1" si="1"/>
        <v>8.4763860369609851</v>
      </c>
      <c r="F5" s="69">
        <f ca="1">_xlfn.IFS(E5&lt;=3,$E$14,E5&lt;=8,$E$14*0.8,E5&lt;=17,$E$14*0.6,E5&gt;17,"нет")</f>
        <v>7407.4679999999998</v>
      </c>
      <c r="H5" s="72" t="s">
        <v>73</v>
      </c>
      <c r="I5" s="76">
        <f ca="1">SUMIF(B2:B11,"Сидоров*",F2:F11)</f>
        <v>17284.092000000001</v>
      </c>
    </row>
    <row r="6" spans="1:9" ht="19.5" thickBot="1" x14ac:dyDescent="0.35">
      <c r="A6" s="55">
        <v>5</v>
      </c>
      <c r="B6" s="58" t="s">
        <v>59</v>
      </c>
      <c r="C6" s="57">
        <v>42129</v>
      </c>
      <c r="D6" s="64">
        <f t="shared" si="0"/>
        <v>5</v>
      </c>
      <c r="E6" s="65">
        <f t="shared" ca="1" si="1"/>
        <v>10.524298425735797</v>
      </c>
      <c r="F6" s="69">
        <f ca="1">_xlfn.IFS(E6&lt;=3,$E$14,E6&lt;=8,$E$14*0.8,E6&lt;=17,$E$14*0.6,E6&gt;17,"нет")</f>
        <v>7407.4679999999998</v>
      </c>
      <c r="H6" s="73" t="s">
        <v>74</v>
      </c>
      <c r="I6" s="77">
        <f ca="1">SUMIF(B2:B11,"Федорова*",F2:F11)</f>
        <v>0</v>
      </c>
    </row>
    <row r="7" spans="1:9" ht="19.5" thickBot="1" x14ac:dyDescent="0.3">
      <c r="A7" s="55">
        <v>6</v>
      </c>
      <c r="B7" s="58" t="s">
        <v>62</v>
      </c>
      <c r="C7" s="57">
        <v>40693</v>
      </c>
      <c r="D7" s="64">
        <f t="shared" si="0"/>
        <v>5</v>
      </c>
      <c r="E7" s="65">
        <f t="shared" ca="1" si="1"/>
        <v>14.455852156057494</v>
      </c>
      <c r="F7" s="69">
        <f ca="1">_xlfn.IFS(E7&lt;=3,$E$14,E7&lt;=8,$E$14*0.8,E7&lt;=17,$E$14*0.6,E7&gt;17,"нет")</f>
        <v>7407.4679999999998</v>
      </c>
    </row>
    <row r="8" spans="1:9" ht="19.5" thickBot="1" x14ac:dyDescent="0.3">
      <c r="A8" s="52">
        <v>7</v>
      </c>
      <c r="B8" s="59" t="s">
        <v>60</v>
      </c>
      <c r="C8" s="57">
        <v>39858</v>
      </c>
      <c r="D8" s="64">
        <f t="shared" si="0"/>
        <v>2</v>
      </c>
      <c r="E8" s="65">
        <f t="shared" ca="1" si="1"/>
        <v>16.741957563312798</v>
      </c>
      <c r="F8" s="69">
        <f ca="1">_xlfn.IFS(E8&lt;=3,$E$14,E8&lt;=8,$E$14*0.8,E8&lt;=17,$E$14*0.6,E8&gt;17,"нет")</f>
        <v>7407.4679999999998</v>
      </c>
      <c r="H8" s="78" t="s">
        <v>71</v>
      </c>
      <c r="I8" s="79" t="s">
        <v>76</v>
      </c>
    </row>
    <row r="9" spans="1:9" ht="19.5" thickBot="1" x14ac:dyDescent="0.3">
      <c r="A9" s="55">
        <v>8</v>
      </c>
      <c r="B9" s="59" t="s">
        <v>57</v>
      </c>
      <c r="C9" s="57">
        <v>39496</v>
      </c>
      <c r="D9" s="64">
        <f t="shared" si="0"/>
        <v>2</v>
      </c>
      <c r="E9" s="65">
        <f t="shared" ca="1" si="1"/>
        <v>17.733059548254619</v>
      </c>
      <c r="F9" s="69" t="str">
        <f ca="1">_xlfn.IFS(E9&lt;=3,$E$14,E9&lt;=8,$E$14*0.8,E9&lt;=17,$E$14*0.6,E9&gt;17,"нет")</f>
        <v>нет</v>
      </c>
      <c r="H9" s="80" t="s">
        <v>77</v>
      </c>
      <c r="I9" s="81">
        <f ca="1">SUMIF(D2:D11,"4",F2:F11)</f>
        <v>32099.028000000006</v>
      </c>
    </row>
    <row r="10" spans="1:9" ht="19.5" thickBot="1" x14ac:dyDescent="0.3">
      <c r="A10" s="55">
        <v>9</v>
      </c>
      <c r="B10" s="59" t="s">
        <v>64</v>
      </c>
      <c r="C10" s="57">
        <v>38773</v>
      </c>
      <c r="D10" s="64">
        <f t="shared" si="0"/>
        <v>2</v>
      </c>
      <c r="E10" s="65">
        <f t="shared" ca="1" si="1"/>
        <v>19.71252566735113</v>
      </c>
      <c r="F10" s="69" t="str">
        <f ca="1">_xlfn.IFS(E10&lt;=3,$E$14,E10&lt;=8,$E$14*0.8,E10&lt;=17,$E$14*0.6,E10&gt;17,"нет")</f>
        <v>нет</v>
      </c>
      <c r="H10" s="80" t="s">
        <v>78</v>
      </c>
      <c r="I10" s="81">
        <f ca="1">SUMIF(D2:D11,"5",F2:F11)</f>
        <v>22222.403999999999</v>
      </c>
    </row>
    <row r="11" spans="1:9" ht="19.5" thickBot="1" x14ac:dyDescent="0.3">
      <c r="A11" s="52">
        <v>10</v>
      </c>
      <c r="B11" s="59" t="s">
        <v>58</v>
      </c>
      <c r="C11" s="57">
        <v>38026</v>
      </c>
      <c r="D11" s="64">
        <f t="shared" si="0"/>
        <v>2</v>
      </c>
      <c r="E11" s="65">
        <f t="shared" ca="1" si="1"/>
        <v>21.757700205338811</v>
      </c>
      <c r="F11" s="69" t="str">
        <f ca="1">_xlfn.IFS(E11&lt;=3,$E$14,E11&lt;=8,$E$14*0.8,E11&lt;=17,$E$14*0.6,E11&gt;17,"нет")</f>
        <v>нет</v>
      </c>
      <c r="H11" s="82" t="s">
        <v>79</v>
      </c>
      <c r="I11" s="83">
        <f ca="1">SUMIF(D2:D11,"2",F2:F11)</f>
        <v>7407.4679999999998</v>
      </c>
    </row>
    <row r="12" spans="1:9" ht="15.75" thickBot="1" x14ac:dyDescent="0.3"/>
    <row r="13" spans="1:9" ht="19.5" thickBot="1" x14ac:dyDescent="0.35">
      <c r="B13" s="66" t="s">
        <v>68</v>
      </c>
      <c r="C13" s="69">
        <f ca="1">SUM(F2:F11)</f>
        <v>61728.900000000009</v>
      </c>
      <c r="E13" s="60" t="s">
        <v>65</v>
      </c>
    </row>
    <row r="14" spans="1:9" ht="19.5" thickBot="1" x14ac:dyDescent="0.3">
      <c r="B14" s="66" t="s">
        <v>69</v>
      </c>
      <c r="C14" s="67">
        <f ca="1">AVERAGE(E2:E11)</f>
        <v>12.118385418131698</v>
      </c>
      <c r="E14" s="68">
        <v>12345.78</v>
      </c>
    </row>
    <row r="15" spans="1:9" ht="19.5" thickBot="1" x14ac:dyDescent="0.3">
      <c r="B15" s="66" t="s">
        <v>70</v>
      </c>
      <c r="C15" s="64">
        <f ca="1">COUNTIF(E2:E11,"&gt;8")</f>
        <v>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Закупки</vt:lpstr>
      <vt:lpstr>График</vt:lpstr>
      <vt:lpstr>Аттестация</vt:lpstr>
      <vt:lpstr>Фун. даты</vt:lpstr>
      <vt:lpstr>Фун. лог.</vt:lpstr>
      <vt:lpstr>Ведомостьё</vt:lpstr>
      <vt:lpstr>Пособия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Шильников</dc:creator>
  <cp:lastModifiedBy>Максим Шильников</cp:lastModifiedBy>
  <dcterms:created xsi:type="dcterms:W3CDTF">2025-11-10T21:25:57Z</dcterms:created>
  <dcterms:modified xsi:type="dcterms:W3CDTF">2025-11-11T22:25:30Z</dcterms:modified>
</cp:coreProperties>
</file>