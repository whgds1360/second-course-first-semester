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econd_year_of_college\ПРАКТИКА инфор.технологии\"/>
    </mc:Choice>
  </mc:AlternateContent>
  <xr:revisionPtr revIDLastSave="0" documentId="13_ncr:1_{DCCFB71D-9611-4AC3-99A8-CD1C0666C103}" xr6:coauthVersionLast="47" xr6:coauthVersionMax="47" xr10:uidLastSave="{00000000-0000-0000-0000-000000000000}"/>
  <bookViews>
    <workbookView xWindow="12375" yWindow="4485" windowWidth="21600" windowHeight="8505" activeTab="5" xr2:uid="{00000000-000D-0000-FFFF-FFFF00000000}"/>
  </bookViews>
  <sheets>
    <sheet name="метод1" sheetId="1" r:id="rId1"/>
    <sheet name="СР_1" sheetId="2" r:id="rId2"/>
    <sheet name="метод2" sheetId="3" r:id="rId3"/>
    <sheet name="СР_2" sheetId="4" r:id="rId4"/>
    <sheet name="метод3" sheetId="5" r:id="rId5"/>
    <sheet name="СР_3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6" l="1" a="1"/>
  <c r="H6" i="6" s="1"/>
  <c r="F13" i="6"/>
  <c r="F14" i="6"/>
  <c r="F12" i="6"/>
  <c r="F9" i="6"/>
  <c r="F8" i="6"/>
  <c r="F7" i="6"/>
  <c r="F6" i="6"/>
  <c r="F23" i="5" a="1"/>
  <c r="F23" i="5" s="1"/>
  <c r="G18" i="5"/>
  <c r="G19" i="5"/>
  <c r="G20" i="5"/>
  <c r="G17" i="5"/>
  <c r="G14" i="5"/>
  <c r="G13" i="5"/>
  <c r="G12" i="5"/>
  <c r="G11" i="5"/>
  <c r="G10" i="5"/>
  <c r="A6" i="5"/>
  <c r="E5" i="4" a="1"/>
  <c r="E5" i="4" s="1"/>
  <c r="A5" i="4" a="1"/>
  <c r="A5" i="4" s="1"/>
  <c r="F9" i="3" a="1"/>
  <c r="F9" i="3" s="1"/>
  <c r="A9" i="3" a="1"/>
  <c r="B9" i="3" s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B3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B2" i="2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B3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B2" i="1"/>
  <c r="H8" i="6" l="1"/>
  <c r="H7" i="6"/>
  <c r="F25" i="5"/>
  <c r="F24" i="5"/>
  <c r="F26" i="5"/>
  <c r="E7" i="4"/>
  <c r="E6" i="4"/>
  <c r="C7" i="4"/>
  <c r="A7" i="4"/>
  <c r="C5" i="4"/>
  <c r="B6" i="4"/>
  <c r="B5" i="4"/>
  <c r="B7" i="4"/>
  <c r="C6" i="4"/>
  <c r="A6" i="4"/>
  <c r="F10" i="3"/>
  <c r="F12" i="3"/>
  <c r="F11" i="3"/>
  <c r="D11" i="3"/>
  <c r="B11" i="3"/>
  <c r="A10" i="3"/>
  <c r="A9" i="3"/>
  <c r="D10" i="3"/>
  <c r="D12" i="3"/>
  <c r="D9" i="3"/>
  <c r="A12" i="3"/>
  <c r="C12" i="3"/>
  <c r="C9" i="3"/>
  <c r="C11" i="3"/>
  <c r="A11" i="3"/>
  <c r="C10" i="3"/>
  <c r="B10" i="3"/>
  <c r="B12" i="3"/>
</calcChain>
</file>

<file path=xl/sharedStrings.xml><?xml version="1.0" encoding="utf-8"?>
<sst xmlns="http://schemas.openxmlformats.org/spreadsheetml/2006/main" count="42" uniqueCount="31">
  <si>
    <t>x</t>
  </si>
  <si>
    <t>y1</t>
  </si>
  <si>
    <t>y2</t>
  </si>
  <si>
    <t>ОТВЕТ</t>
  </si>
  <si>
    <t>X</t>
  </si>
  <si>
    <t>Y</t>
  </si>
  <si>
    <t>А</t>
  </si>
  <si>
    <t>B</t>
  </si>
  <si>
    <t>Матрица А</t>
  </si>
  <si>
    <t>Матрица B</t>
  </si>
  <si>
    <t>Матрица А1</t>
  </si>
  <si>
    <t>Матрица А2</t>
  </si>
  <si>
    <t>Матрица А3</t>
  </si>
  <si>
    <t>Матрица А4</t>
  </si>
  <si>
    <t>Опредлители:</t>
  </si>
  <si>
    <t>А1</t>
  </si>
  <si>
    <t>А2</t>
  </si>
  <si>
    <t>А3</t>
  </si>
  <si>
    <t>А4</t>
  </si>
  <si>
    <t>РЕШЕНИЕ</t>
  </si>
  <si>
    <t>x1 =</t>
  </si>
  <si>
    <t>x2 =</t>
  </si>
  <si>
    <t>x3 =</t>
  </si>
  <si>
    <t>x4 =</t>
  </si>
  <si>
    <t>ПРОВЕРКА</t>
  </si>
  <si>
    <t>Определители</t>
  </si>
  <si>
    <t>Решение</t>
  </si>
  <si>
    <t>x1</t>
  </si>
  <si>
    <t>x2</t>
  </si>
  <si>
    <t>x3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</si>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</sst>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6" xfId="0" applyBorder="1"/>
    <xf numFmtId="0" fontId="0" fillId="0" borderId="17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256999125109365E-2"/>
          <c:y val="4.8645742198891818E-2"/>
          <c:w val="0.82185411198600178"/>
          <c:h val="0.925925925925925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метод1!$A$2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метод1!$B$1:$Q$1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</c:numCache>
            </c:numRef>
          </c:xVal>
          <c:yVal>
            <c:numRef>
              <c:f>метод1!$B$2:$Q$2</c:f>
              <c:numCache>
                <c:formatCode>General</c:formatCode>
                <c:ptCount val="16"/>
                <c:pt idx="0">
                  <c:v>8</c:v>
                </c:pt>
                <c:pt idx="1">
                  <c:v>7.5</c:v>
                </c:pt>
                <c:pt idx="2">
                  <c:v>7</c:v>
                </c:pt>
                <c:pt idx="3">
                  <c:v>6.5</c:v>
                </c:pt>
                <c:pt idx="4">
                  <c:v>6</c:v>
                </c:pt>
                <c:pt idx="5">
                  <c:v>5.5</c:v>
                </c:pt>
                <c:pt idx="6">
                  <c:v>5</c:v>
                </c:pt>
                <c:pt idx="7">
                  <c:v>4.5</c:v>
                </c:pt>
                <c:pt idx="8">
                  <c:v>4</c:v>
                </c:pt>
                <c:pt idx="9">
                  <c:v>3.5</c:v>
                </c:pt>
                <c:pt idx="10">
                  <c:v>3</c:v>
                </c:pt>
                <c:pt idx="11">
                  <c:v>2.5</c:v>
                </c:pt>
                <c:pt idx="12">
                  <c:v>2</c:v>
                </c:pt>
                <c:pt idx="13">
                  <c:v>1.5</c:v>
                </c:pt>
                <c:pt idx="14">
                  <c:v>1</c:v>
                </c:pt>
                <c:pt idx="15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A5-4242-A80B-9FB1B51692F1}"/>
            </c:ext>
          </c:extLst>
        </c:ser>
        <c:ser>
          <c:idx val="1"/>
          <c:order val="1"/>
          <c:tx>
            <c:v>y2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метод1!$B$1:$Q$1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</c:numCache>
            </c:numRef>
          </c:xVal>
          <c:yVal>
            <c:numRef>
              <c:f>метод1!$B$3:$Q$3</c:f>
              <c:numCache>
                <c:formatCode>General</c:formatCode>
                <c:ptCount val="16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-1</c:v>
                </c:pt>
                <c:pt idx="15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A5-4242-A80B-9FB1B5169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078504"/>
        <c:axId val="708083904"/>
      </c:scatterChart>
      <c:valAx>
        <c:axId val="708078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8083904"/>
        <c:crosses val="autoZero"/>
        <c:crossBetween val="midCat"/>
      </c:valAx>
      <c:valAx>
        <c:axId val="7080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8078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715223097112861E-2"/>
          <c:y val="5.0925925925925923E-2"/>
          <c:w val="0.83550699912510928"/>
          <c:h val="0.912037037037037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СР_1!$A$2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СР_1!$B$1:$Q$1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</c:numCache>
            </c:numRef>
          </c:xVal>
          <c:yVal>
            <c:numRef>
              <c:f>СР_1!$B$2:$Q$2</c:f>
              <c:numCache>
                <c:formatCode>General</c:formatCode>
                <c:ptCount val="16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A-4145-B74A-67E58184F1DF}"/>
            </c:ext>
          </c:extLst>
        </c:ser>
        <c:ser>
          <c:idx val="1"/>
          <c:order val="1"/>
          <c:tx>
            <c:v>y2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СР_1!$B$1:$Q$1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</c:numCache>
            </c:numRef>
          </c:xVal>
          <c:yVal>
            <c:numRef>
              <c:f>СР_1!$B$3:$Q$3</c:f>
              <c:numCache>
                <c:formatCode>General</c:formatCode>
                <c:ptCount val="16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-1</c:v>
                </c:pt>
                <c:pt idx="13">
                  <c:v>-2</c:v>
                </c:pt>
                <c:pt idx="14">
                  <c:v>-3</c:v>
                </c:pt>
                <c:pt idx="15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9A-4145-B74A-67E58184F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436264"/>
        <c:axId val="732509968"/>
      </c:scatterChart>
      <c:valAx>
        <c:axId val="57943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2509968"/>
        <c:crosses val="autoZero"/>
        <c:crossBetween val="midCat"/>
      </c:valAx>
      <c:valAx>
        <c:axId val="7325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9436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185737</xdr:rowOff>
    </xdr:from>
    <xdr:to>
      <xdr:col>7</xdr:col>
      <xdr:colOff>314325</xdr:colOff>
      <xdr:row>18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D91DB2-77E9-DE53-D941-D04AD0FDC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</xdr:rowOff>
    </xdr:from>
    <xdr:to>
      <xdr:col>8</xdr:col>
      <xdr:colOff>238125</xdr:colOff>
      <xdr:row>18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1B474E-2802-56D9-061B-3FF75F8E0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zoomScaleNormal="100" zoomScalePageLayoutView="115" workbookViewId="0">
      <selection activeCell="H22" sqref="H22"/>
    </sheetView>
  </sheetViews>
  <sheetFormatPr defaultRowHeight="15" x14ac:dyDescent="0.25"/>
  <sheetData>
    <row r="1" spans="1:17" x14ac:dyDescent="0.25">
      <c r="A1" t="s">
        <v>0</v>
      </c>
      <c r="B1">
        <v>-5</v>
      </c>
      <c r="C1">
        <v>-4</v>
      </c>
      <c r="D1">
        <v>-3</v>
      </c>
      <c r="E1">
        <v>-2</v>
      </c>
      <c r="F1">
        <v>-1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</row>
    <row r="2" spans="1:17" x14ac:dyDescent="0.25">
      <c r="A2" t="s">
        <v>1</v>
      </c>
      <c r="B2">
        <f>(11-B1)/2</f>
        <v>8</v>
      </c>
      <c r="C2">
        <f t="shared" ref="C2:Q2" si="0">(11-C1)/2</f>
        <v>7.5</v>
      </c>
      <c r="D2">
        <f t="shared" si="0"/>
        <v>7</v>
      </c>
      <c r="E2">
        <f t="shared" si="0"/>
        <v>6.5</v>
      </c>
      <c r="F2">
        <f t="shared" si="0"/>
        <v>6</v>
      </c>
      <c r="G2">
        <f t="shared" si="0"/>
        <v>5.5</v>
      </c>
      <c r="H2">
        <f t="shared" si="0"/>
        <v>5</v>
      </c>
      <c r="I2">
        <f t="shared" si="0"/>
        <v>4.5</v>
      </c>
      <c r="J2">
        <f t="shared" si="0"/>
        <v>4</v>
      </c>
      <c r="K2">
        <f t="shared" si="0"/>
        <v>3.5</v>
      </c>
      <c r="L2">
        <f t="shared" si="0"/>
        <v>3</v>
      </c>
      <c r="M2">
        <f t="shared" si="0"/>
        <v>2.5</v>
      </c>
      <c r="N2">
        <f t="shared" si="0"/>
        <v>2</v>
      </c>
      <c r="O2">
        <f t="shared" si="0"/>
        <v>1.5</v>
      </c>
      <c r="P2">
        <f t="shared" si="0"/>
        <v>1</v>
      </c>
      <c r="Q2">
        <f t="shared" si="0"/>
        <v>0.5</v>
      </c>
    </row>
    <row r="3" spans="1:17" x14ac:dyDescent="0.25">
      <c r="A3" t="s">
        <v>2</v>
      </c>
      <c r="B3">
        <f>8-B1</f>
        <v>13</v>
      </c>
      <c r="C3">
        <f t="shared" ref="C3:Q3" si="1">8-C1</f>
        <v>12</v>
      </c>
      <c r="D3">
        <f t="shared" si="1"/>
        <v>11</v>
      </c>
      <c r="E3">
        <f t="shared" si="1"/>
        <v>10</v>
      </c>
      <c r="F3">
        <f t="shared" si="1"/>
        <v>9</v>
      </c>
      <c r="G3">
        <f t="shared" si="1"/>
        <v>8</v>
      </c>
      <c r="H3">
        <f t="shared" si="1"/>
        <v>7</v>
      </c>
      <c r="I3">
        <f t="shared" si="1"/>
        <v>6</v>
      </c>
      <c r="J3">
        <f t="shared" si="1"/>
        <v>5</v>
      </c>
      <c r="K3">
        <f t="shared" si="1"/>
        <v>4</v>
      </c>
      <c r="L3">
        <f t="shared" si="1"/>
        <v>3</v>
      </c>
      <c r="M3">
        <f t="shared" si="1"/>
        <v>2</v>
      </c>
      <c r="N3">
        <f t="shared" si="1"/>
        <v>1</v>
      </c>
      <c r="O3">
        <f t="shared" si="1"/>
        <v>0</v>
      </c>
      <c r="P3">
        <f t="shared" si="1"/>
        <v>-1</v>
      </c>
      <c r="Q3">
        <f t="shared" si="1"/>
        <v>-2</v>
      </c>
    </row>
    <row r="20" spans="1:2" x14ac:dyDescent="0.25">
      <c r="A20" s="2" t="s">
        <v>3</v>
      </c>
      <c r="B20" s="2"/>
    </row>
    <row r="21" spans="1:2" x14ac:dyDescent="0.25">
      <c r="A21" s="3" t="s">
        <v>4</v>
      </c>
      <c r="B21" s="3">
        <v>5</v>
      </c>
    </row>
    <row r="22" spans="1:2" x14ac:dyDescent="0.25">
      <c r="A22" s="3" t="s">
        <v>5</v>
      </c>
      <c r="B22" s="3">
        <v>3</v>
      </c>
    </row>
  </sheetData>
  <mergeCells count="1">
    <mergeCell ref="A20:B20"/>
  </mergeCells>
  <pageMargins left="0.7" right="0.7" top="0.75" bottom="0.75" header="0.3" footer="0.3"/>
  <pageSetup paperSize="9" orientation="portrait" verticalDpi="0" r:id="rId1"/>
  <headerFooter>
    <oddHeader>&amp;CШильников Максим Юрьевич
ИСПк 203-52-00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CC84-A1DC-42C3-BDCD-D6F1F37A2BDF}">
  <dimension ref="A1:Q23"/>
  <sheetViews>
    <sheetView topLeftCell="A13" workbookViewId="0">
      <selection activeCell="D22" sqref="D22"/>
    </sheetView>
  </sheetViews>
  <sheetFormatPr defaultRowHeight="15" x14ac:dyDescent="0.25"/>
  <sheetData>
    <row r="1" spans="1:17" x14ac:dyDescent="0.25">
      <c r="A1" t="s">
        <v>0</v>
      </c>
      <c r="B1">
        <v>-5</v>
      </c>
      <c r="C1">
        <v>-4</v>
      </c>
      <c r="D1">
        <v>-3</v>
      </c>
      <c r="E1">
        <v>-2</v>
      </c>
      <c r="F1">
        <v>-1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</row>
    <row r="2" spans="1:17" x14ac:dyDescent="0.25">
      <c r="A2" t="s">
        <v>1</v>
      </c>
      <c r="B2">
        <f xml:space="preserve"> 10 - 2*B1</f>
        <v>20</v>
      </c>
      <c r="C2">
        <f t="shared" ref="C2:Q2" si="0" xml:space="preserve"> 10 - 2*C1</f>
        <v>18</v>
      </c>
      <c r="D2">
        <f t="shared" si="0"/>
        <v>16</v>
      </c>
      <c r="E2">
        <f t="shared" si="0"/>
        <v>14</v>
      </c>
      <c r="F2">
        <f t="shared" si="0"/>
        <v>12</v>
      </c>
      <c r="G2">
        <f t="shared" si="0"/>
        <v>10</v>
      </c>
      <c r="H2">
        <f t="shared" si="0"/>
        <v>8</v>
      </c>
      <c r="I2">
        <f t="shared" si="0"/>
        <v>6</v>
      </c>
      <c r="J2">
        <f t="shared" si="0"/>
        <v>4</v>
      </c>
      <c r="K2">
        <f t="shared" si="0"/>
        <v>2</v>
      </c>
      <c r="L2">
        <f t="shared" si="0"/>
        <v>0</v>
      </c>
      <c r="M2">
        <f t="shared" si="0"/>
        <v>-2</v>
      </c>
      <c r="N2">
        <f t="shared" si="0"/>
        <v>-4</v>
      </c>
      <c r="O2">
        <f t="shared" si="0"/>
        <v>-6</v>
      </c>
      <c r="P2">
        <f t="shared" si="0"/>
        <v>-8</v>
      </c>
      <c r="Q2">
        <f t="shared" si="0"/>
        <v>-10</v>
      </c>
    </row>
    <row r="3" spans="1:17" x14ac:dyDescent="0.25">
      <c r="A3" t="s">
        <v>2</v>
      </c>
      <c r="B3">
        <f xml:space="preserve"> 6 -B1</f>
        <v>11</v>
      </c>
      <c r="C3">
        <f t="shared" ref="C3:Q3" si="1" xml:space="preserve"> 6 -C1</f>
        <v>10</v>
      </c>
      <c r="D3">
        <f t="shared" si="1"/>
        <v>9</v>
      </c>
      <c r="E3">
        <f t="shared" si="1"/>
        <v>8</v>
      </c>
      <c r="F3">
        <f t="shared" si="1"/>
        <v>7</v>
      </c>
      <c r="G3">
        <f t="shared" si="1"/>
        <v>6</v>
      </c>
      <c r="H3">
        <f t="shared" si="1"/>
        <v>5</v>
      </c>
      <c r="I3">
        <f t="shared" si="1"/>
        <v>4</v>
      </c>
      <c r="J3">
        <f t="shared" si="1"/>
        <v>3</v>
      </c>
      <c r="K3">
        <f t="shared" si="1"/>
        <v>2</v>
      </c>
      <c r="L3">
        <f t="shared" si="1"/>
        <v>1</v>
      </c>
      <c r="M3">
        <f t="shared" si="1"/>
        <v>0</v>
      </c>
      <c r="N3">
        <f t="shared" si="1"/>
        <v>-1</v>
      </c>
      <c r="O3">
        <f t="shared" si="1"/>
        <v>-2</v>
      </c>
      <c r="P3">
        <f t="shared" si="1"/>
        <v>-3</v>
      </c>
      <c r="Q3">
        <f t="shared" si="1"/>
        <v>-4</v>
      </c>
    </row>
    <row r="21" spans="1:2" x14ac:dyDescent="0.25">
      <c r="A21" s="4" t="s">
        <v>3</v>
      </c>
      <c r="B21" s="4"/>
    </row>
    <row r="22" spans="1:2" x14ac:dyDescent="0.25">
      <c r="A22" s="3" t="s">
        <v>4</v>
      </c>
      <c r="B22" s="3">
        <v>4</v>
      </c>
    </row>
    <row r="23" spans="1:2" x14ac:dyDescent="0.25">
      <c r="A23" s="3" t="s">
        <v>5</v>
      </c>
      <c r="B23" s="3">
        <v>2</v>
      </c>
    </row>
  </sheetData>
  <mergeCells count="1">
    <mergeCell ref="A21:B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1A98-C88D-4F45-B727-2C80F3567449}">
  <dimension ref="A1:F12"/>
  <sheetViews>
    <sheetView workbookViewId="0">
      <selection activeCell="I9" sqref="I9"/>
    </sheetView>
  </sheetViews>
  <sheetFormatPr defaultRowHeight="15" x14ac:dyDescent="0.25"/>
  <sheetData>
    <row r="1" spans="1:6" x14ac:dyDescent="0.25">
      <c r="A1" s="5">
        <v>14</v>
      </c>
      <c r="B1" s="6">
        <v>2</v>
      </c>
      <c r="C1" s="6">
        <v>0</v>
      </c>
      <c r="D1" s="7">
        <v>8</v>
      </c>
      <c r="F1" s="18">
        <v>218</v>
      </c>
    </row>
    <row r="2" spans="1:6" x14ac:dyDescent="0.25">
      <c r="A2" s="8">
        <v>7</v>
      </c>
      <c r="B2" s="9">
        <v>-3</v>
      </c>
      <c r="C2" s="9">
        <v>5</v>
      </c>
      <c r="D2" s="10">
        <v>12</v>
      </c>
      <c r="F2" s="19">
        <v>213</v>
      </c>
    </row>
    <row r="3" spans="1:6" x14ac:dyDescent="0.25">
      <c r="A3" s="8">
        <v>5</v>
      </c>
      <c r="B3" s="9">
        <v>1</v>
      </c>
      <c r="C3" s="9">
        <v>-2</v>
      </c>
      <c r="D3" s="10">
        <v>4</v>
      </c>
      <c r="F3" s="19">
        <v>83</v>
      </c>
    </row>
    <row r="4" spans="1:6" x14ac:dyDescent="0.25">
      <c r="A4" s="11">
        <v>6</v>
      </c>
      <c r="B4" s="12">
        <v>2</v>
      </c>
      <c r="C4" s="12">
        <v>1</v>
      </c>
      <c r="D4" s="13">
        <v>-3</v>
      </c>
      <c r="F4" s="20">
        <v>21</v>
      </c>
    </row>
    <row r="6" spans="1:6" x14ac:dyDescent="0.25">
      <c r="A6" s="14" t="s">
        <v>6</v>
      </c>
      <c r="B6" s="15"/>
      <c r="C6" s="15"/>
      <c r="D6" s="16"/>
      <c r="E6" s="17"/>
      <c r="F6" s="22" t="s">
        <v>7</v>
      </c>
    </row>
    <row r="9" spans="1:6" x14ac:dyDescent="0.25">
      <c r="A9">
        <f t="array" ref="A9:D12">MINVERSE(A1:D4)</f>
        <v>-0.73648648648648618</v>
      </c>
      <c r="B9">
        <v>0.29729729729729726</v>
      </c>
      <c r="C9">
        <v>1.0675675675675673</v>
      </c>
      <c r="D9">
        <v>0.64864864864864846</v>
      </c>
      <c r="F9" s="23">
        <f t="array" ref="F9:F12">MMULT(A9:D12,F1:F4)</f>
        <v>5.0000000000000462</v>
      </c>
    </row>
    <row r="10" spans="1:6" x14ac:dyDescent="0.25">
      <c r="A10">
        <v>2.7905405405405395</v>
      </c>
      <c r="B10">
        <v>-1.1081081081081079</v>
      </c>
      <c r="C10">
        <v>-3.7972972972972965</v>
      </c>
      <c r="D10">
        <v>-2.0540540540540535</v>
      </c>
      <c r="F10" s="23">
        <v>13.999999999999865</v>
      </c>
    </row>
    <row r="11" spans="1:6" x14ac:dyDescent="0.25">
      <c r="A11">
        <v>0.98648648648648618</v>
      </c>
      <c r="B11">
        <v>-0.2972972972972972</v>
      </c>
      <c r="C11">
        <v>-1.5675675675675673</v>
      </c>
      <c r="D11">
        <v>-0.64864864864864846</v>
      </c>
      <c r="F11" s="23">
        <v>7.999999999999968</v>
      </c>
    </row>
    <row r="12" spans="1:6" x14ac:dyDescent="0.25">
      <c r="A12">
        <v>0.71621621621621601</v>
      </c>
      <c r="B12">
        <v>-0.24324324324324317</v>
      </c>
      <c r="C12">
        <v>-0.91891891891891864</v>
      </c>
      <c r="D12">
        <v>-0.62162162162162149</v>
      </c>
      <c r="F12" s="23">
        <v>15.000000000000012</v>
      </c>
    </row>
  </sheetData>
  <mergeCells count="1"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A978-D175-4CEC-AE3C-5A3851982299}">
  <dimension ref="A1:E7"/>
  <sheetViews>
    <sheetView workbookViewId="0">
      <selection activeCell="H12" sqref="H12"/>
    </sheetView>
  </sheetViews>
  <sheetFormatPr defaultRowHeight="15" x14ac:dyDescent="0.25"/>
  <sheetData>
    <row r="1" spans="1:5" x14ac:dyDescent="0.25">
      <c r="A1">
        <v>1</v>
      </c>
      <c r="B1">
        <v>2</v>
      </c>
      <c r="C1">
        <v>1</v>
      </c>
      <c r="E1">
        <v>-1</v>
      </c>
    </row>
    <row r="2" spans="1:5" x14ac:dyDescent="0.25">
      <c r="A2">
        <v>2</v>
      </c>
      <c r="B2">
        <v>-1</v>
      </c>
      <c r="C2">
        <v>1</v>
      </c>
      <c r="E2">
        <v>3</v>
      </c>
    </row>
    <row r="3" spans="1:5" x14ac:dyDescent="0.25">
      <c r="A3">
        <v>1</v>
      </c>
      <c r="B3">
        <v>1</v>
      </c>
      <c r="C3">
        <v>2</v>
      </c>
      <c r="E3">
        <v>0</v>
      </c>
    </row>
    <row r="5" spans="1:5" x14ac:dyDescent="0.25">
      <c r="A5">
        <f t="array" ref="A5:C7">MINVERSE(A1:C3)</f>
        <v>0.5</v>
      </c>
      <c r="B5">
        <v>0.5</v>
      </c>
      <c r="C5">
        <v>-0.5</v>
      </c>
      <c r="E5" s="23">
        <f t="array" ref="E5:E7">MMULT(A5:C7,E1:E3)</f>
        <v>1</v>
      </c>
    </row>
    <row r="6" spans="1:5" x14ac:dyDescent="0.25">
      <c r="A6">
        <v>0.5</v>
      </c>
      <c r="B6">
        <v>-0.16666666666666666</v>
      </c>
      <c r="C6">
        <v>-0.16666666666666669</v>
      </c>
      <c r="E6" s="23">
        <v>-1</v>
      </c>
    </row>
    <row r="7" spans="1:5" x14ac:dyDescent="0.25">
      <c r="A7">
        <v>-0.5</v>
      </c>
      <c r="B7">
        <v>-0.16666666666666669</v>
      </c>
      <c r="C7">
        <v>0.83333333333333337</v>
      </c>
      <c r="E7" s="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077D-ED50-4942-AF6B-2746CCF9B383}">
  <dimension ref="A1:G30"/>
  <sheetViews>
    <sheetView topLeftCell="A10" workbookViewId="0">
      <selection activeCell="G23" sqref="G23"/>
    </sheetView>
  </sheetViews>
  <sheetFormatPr defaultRowHeight="15" x14ac:dyDescent="0.25"/>
  <cols>
    <col min="6" max="6" width="14.28515625" bestFit="1" customWidth="1"/>
  </cols>
  <sheetData>
    <row r="1" spans="1:7" x14ac:dyDescent="0.25">
      <c r="A1" s="24" t="s">
        <v>8</v>
      </c>
      <c r="B1" s="24"/>
      <c r="C1" s="24"/>
      <c r="D1" s="24"/>
      <c r="F1" s="25" t="s">
        <v>9</v>
      </c>
    </row>
    <row r="2" spans="1:7" x14ac:dyDescent="0.25">
      <c r="A2" s="26">
        <v>4</v>
      </c>
      <c r="B2" s="26">
        <v>-2</v>
      </c>
      <c r="C2" s="26">
        <v>3</v>
      </c>
      <c r="D2" s="26">
        <v>-2</v>
      </c>
      <c r="F2" s="21">
        <v>1</v>
      </c>
    </row>
    <row r="3" spans="1:7" x14ac:dyDescent="0.25">
      <c r="A3" s="26">
        <v>-2</v>
      </c>
      <c r="B3" s="26">
        <v>5</v>
      </c>
      <c r="C3" s="26">
        <v>-2</v>
      </c>
      <c r="D3" s="26">
        <v>1</v>
      </c>
      <c r="F3" s="21">
        <v>6</v>
      </c>
    </row>
    <row r="4" spans="1:7" x14ac:dyDescent="0.25">
      <c r="A4" s="26">
        <v>3</v>
      </c>
      <c r="B4" s="26">
        <v>-2</v>
      </c>
      <c r="C4" s="26">
        <v>3</v>
      </c>
      <c r="D4" s="26">
        <v>-4</v>
      </c>
      <c r="F4" s="21">
        <v>-8</v>
      </c>
    </row>
    <row r="5" spans="1:7" x14ac:dyDescent="0.25">
      <c r="A5" s="26">
        <v>-2</v>
      </c>
      <c r="B5" s="26">
        <v>1</v>
      </c>
      <c r="C5" s="26">
        <v>-4</v>
      </c>
      <c r="D5" s="26">
        <v>2</v>
      </c>
      <c r="F5" s="21">
        <v>-4</v>
      </c>
    </row>
    <row r="6" spans="1:7" x14ac:dyDescent="0.25">
      <c r="A6" s="27" t="str">
        <f>IF(MDETERM(A2:D5), "Система имеет единственное решение", "Система решения не имеет")</f>
        <v>Система имеет единственное решение</v>
      </c>
      <c r="B6" s="27"/>
      <c r="C6" s="27"/>
      <c r="D6" s="27"/>
    </row>
    <row r="8" spans="1:7" x14ac:dyDescent="0.25">
      <c r="A8" s="1" t="s">
        <v>10</v>
      </c>
      <c r="B8" s="1"/>
      <c r="C8" s="1"/>
      <c r="D8" s="1"/>
    </row>
    <row r="9" spans="1:7" x14ac:dyDescent="0.25">
      <c r="A9" s="21">
        <v>1</v>
      </c>
      <c r="B9" s="26">
        <v>-2</v>
      </c>
      <c r="C9" s="26">
        <v>3</v>
      </c>
      <c r="D9" s="26">
        <v>-2</v>
      </c>
      <c r="F9" s="21" t="s">
        <v>14</v>
      </c>
      <c r="G9" s="21"/>
    </row>
    <row r="10" spans="1:7" x14ac:dyDescent="0.25">
      <c r="A10" s="21">
        <v>6</v>
      </c>
      <c r="B10" s="26">
        <v>5</v>
      </c>
      <c r="C10" s="26">
        <v>-2</v>
      </c>
      <c r="D10" s="26">
        <v>1</v>
      </c>
      <c r="F10" s="21" t="s">
        <v>6</v>
      </c>
      <c r="G10" s="21">
        <f>MDETERM(A2:D5)</f>
        <v>-89</v>
      </c>
    </row>
    <row r="11" spans="1:7" x14ac:dyDescent="0.25">
      <c r="A11" s="21">
        <v>-8</v>
      </c>
      <c r="B11" s="26">
        <v>-2</v>
      </c>
      <c r="C11" s="26">
        <v>3</v>
      </c>
      <c r="D11" s="26">
        <v>-4</v>
      </c>
      <c r="F11" s="21" t="s">
        <v>15</v>
      </c>
      <c r="G11" s="21">
        <f>MDETERM(A9:D12)</f>
        <v>-89.000000000000128</v>
      </c>
    </row>
    <row r="12" spans="1:7" x14ac:dyDescent="0.25">
      <c r="A12" s="21">
        <v>-4</v>
      </c>
      <c r="B12" s="26">
        <v>1</v>
      </c>
      <c r="C12" s="26">
        <v>-4</v>
      </c>
      <c r="D12" s="26">
        <v>2</v>
      </c>
      <c r="F12" s="21" t="s">
        <v>16</v>
      </c>
      <c r="G12" s="21">
        <f>MDETERM(A15:D18)</f>
        <v>-178</v>
      </c>
    </row>
    <row r="13" spans="1:7" x14ac:dyDescent="0.25">
      <c r="F13" s="21" t="s">
        <v>17</v>
      </c>
      <c r="G13" s="21">
        <f>MDETERM(A21:D24)</f>
        <v>-267</v>
      </c>
    </row>
    <row r="14" spans="1:7" x14ac:dyDescent="0.25">
      <c r="A14" s="1" t="s">
        <v>11</v>
      </c>
      <c r="B14" s="1"/>
      <c r="C14" s="1"/>
      <c r="D14" s="1"/>
      <c r="F14" s="21" t="s">
        <v>18</v>
      </c>
      <c r="G14" s="21">
        <f>MDETERM(A27:D30)</f>
        <v>-356</v>
      </c>
    </row>
    <row r="15" spans="1:7" x14ac:dyDescent="0.25">
      <c r="A15" s="26">
        <v>4</v>
      </c>
      <c r="B15" s="21">
        <v>1</v>
      </c>
      <c r="C15" s="26">
        <v>3</v>
      </c>
      <c r="D15" s="26">
        <v>-2</v>
      </c>
    </row>
    <row r="16" spans="1:7" ht="23.25" x14ac:dyDescent="0.35">
      <c r="A16" s="26">
        <v>-2</v>
      </c>
      <c r="B16" s="21">
        <v>6</v>
      </c>
      <c r="C16" s="26">
        <v>-2</v>
      </c>
      <c r="D16" s="26">
        <v>1</v>
      </c>
      <c r="F16" s="28" t="s">
        <v>19</v>
      </c>
      <c r="G16" s="16"/>
    </row>
    <row r="17" spans="1:7" x14ac:dyDescent="0.25">
      <c r="A17" s="26">
        <v>3</v>
      </c>
      <c r="B17" s="21">
        <v>-8</v>
      </c>
      <c r="C17" s="26">
        <v>3</v>
      </c>
      <c r="D17" s="26">
        <v>-4</v>
      </c>
      <c r="F17" s="21" t="s">
        <v>20</v>
      </c>
      <c r="G17" s="21">
        <f>G11/$G$10</f>
        <v>1.0000000000000013</v>
      </c>
    </row>
    <row r="18" spans="1:7" x14ac:dyDescent="0.25">
      <c r="A18" s="26">
        <v>-2</v>
      </c>
      <c r="B18" s="21">
        <v>-4</v>
      </c>
      <c r="C18" s="26">
        <v>-4</v>
      </c>
      <c r="D18" s="26">
        <v>2</v>
      </c>
      <c r="F18" s="21" t="s">
        <v>21</v>
      </c>
      <c r="G18" s="21">
        <f t="shared" ref="G18:G20" si="0">G12/$G$10</f>
        <v>2</v>
      </c>
    </row>
    <row r="19" spans="1:7" x14ac:dyDescent="0.25">
      <c r="F19" s="21" t="s">
        <v>22</v>
      </c>
      <c r="G19" s="21">
        <f t="shared" si="0"/>
        <v>3</v>
      </c>
    </row>
    <row r="20" spans="1:7" x14ac:dyDescent="0.25">
      <c r="A20" s="1" t="s">
        <v>12</v>
      </c>
      <c r="B20" s="1"/>
      <c r="C20" s="1"/>
      <c r="D20" s="1"/>
      <c r="F20" s="21" t="s">
        <v>23</v>
      </c>
      <c r="G20" s="21">
        <f t="shared" si="0"/>
        <v>4</v>
      </c>
    </row>
    <row r="21" spans="1:7" x14ac:dyDescent="0.25">
      <c r="A21" s="26">
        <v>4</v>
      </c>
      <c r="B21" s="26">
        <v>-2</v>
      </c>
      <c r="C21" s="21">
        <v>1</v>
      </c>
      <c r="D21" s="26">
        <v>-2</v>
      </c>
    </row>
    <row r="22" spans="1:7" x14ac:dyDescent="0.25">
      <c r="A22" s="26">
        <v>-2</v>
      </c>
      <c r="B22" s="26">
        <v>5</v>
      </c>
      <c r="C22" s="21">
        <v>6</v>
      </c>
      <c r="D22" s="26">
        <v>1</v>
      </c>
      <c r="F22" s="22" t="s">
        <v>24</v>
      </c>
      <c r="G22" s="29"/>
    </row>
    <row r="23" spans="1:7" x14ac:dyDescent="0.25">
      <c r="A23" s="26">
        <v>3</v>
      </c>
      <c r="B23" s="26">
        <v>-2</v>
      </c>
      <c r="C23" s="21">
        <v>-8</v>
      </c>
      <c r="D23" s="26">
        <v>-4</v>
      </c>
      <c r="F23" s="21">
        <f t="array" ref="F23:F26">MMULT(A2:D5,G17:G20)</f>
        <v>1.0000000000000053</v>
      </c>
    </row>
    <row r="24" spans="1:7" x14ac:dyDescent="0.25">
      <c r="A24" s="26">
        <v>-2</v>
      </c>
      <c r="B24" s="26">
        <v>1</v>
      </c>
      <c r="C24" s="21">
        <v>-4</v>
      </c>
      <c r="D24" s="26">
        <v>2</v>
      </c>
      <c r="F24" s="21">
        <v>5.9999999999999973</v>
      </c>
    </row>
    <row r="25" spans="1:7" x14ac:dyDescent="0.25">
      <c r="F25" s="21">
        <v>-7.9999999999999964</v>
      </c>
    </row>
    <row r="26" spans="1:7" x14ac:dyDescent="0.25">
      <c r="A26" s="1" t="s">
        <v>13</v>
      </c>
      <c r="B26" s="1"/>
      <c r="C26" s="1"/>
      <c r="D26" s="1"/>
      <c r="F26" s="21">
        <v>-4.0000000000000036</v>
      </c>
    </row>
    <row r="27" spans="1:7" x14ac:dyDescent="0.25">
      <c r="A27" s="26">
        <v>4</v>
      </c>
      <c r="B27" s="26">
        <v>-2</v>
      </c>
      <c r="C27" s="26">
        <v>3</v>
      </c>
      <c r="D27" s="21">
        <v>1</v>
      </c>
    </row>
    <row r="28" spans="1:7" x14ac:dyDescent="0.25">
      <c r="A28" s="26">
        <v>-2</v>
      </c>
      <c r="B28" s="26">
        <v>5</v>
      </c>
      <c r="C28" s="26">
        <v>-2</v>
      </c>
      <c r="D28" s="21">
        <v>6</v>
      </c>
    </row>
    <row r="29" spans="1:7" x14ac:dyDescent="0.25">
      <c r="A29" s="26">
        <v>3</v>
      </c>
      <c r="B29" s="26">
        <v>-2</v>
      </c>
      <c r="C29" s="26">
        <v>3</v>
      </c>
      <c r="D29" s="21">
        <v>-8</v>
      </c>
    </row>
    <row r="30" spans="1:7" x14ac:dyDescent="0.25">
      <c r="A30" s="26">
        <v>-2</v>
      </c>
      <c r="B30" s="26">
        <v>1</v>
      </c>
      <c r="C30" s="26">
        <v>-4</v>
      </c>
      <c r="D30" s="21">
        <v>-4</v>
      </c>
    </row>
  </sheetData>
  <mergeCells count="7">
    <mergeCell ref="F16:G16"/>
    <mergeCell ref="A1:D1"/>
    <mergeCell ref="A6:D6"/>
    <mergeCell ref="A8:D8"/>
    <mergeCell ref="A14:D14"/>
    <mergeCell ref="A20:D20"/>
    <mergeCell ref="A26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E6F0-1028-41AB-BDDB-B4CB202519B9}">
  <dimension ref="A1:H15"/>
  <sheetViews>
    <sheetView tabSelected="1" topLeftCell="A4" workbookViewId="0">
      <selection activeCell="J8" sqref="J8"/>
    </sheetView>
  </sheetViews>
  <sheetFormatPr defaultRowHeight="15" x14ac:dyDescent="0.25"/>
  <cols>
    <col min="8" max="8" width="12" bestFit="1" customWidth="1"/>
  </cols>
  <sheetData>
    <row r="1" spans="1:8" x14ac:dyDescent="0.25">
      <c r="A1" s="21">
        <v>1</v>
      </c>
      <c r="B1" s="21">
        <v>2</v>
      </c>
      <c r="C1" s="21">
        <v>1</v>
      </c>
      <c r="E1" s="21">
        <v>-1</v>
      </c>
    </row>
    <row r="2" spans="1:8" x14ac:dyDescent="0.25">
      <c r="A2" s="21">
        <v>2</v>
      </c>
      <c r="B2" s="21">
        <v>-1</v>
      </c>
      <c r="C2" s="21">
        <v>1</v>
      </c>
      <c r="E2" s="21">
        <v>3</v>
      </c>
    </row>
    <row r="3" spans="1:8" x14ac:dyDescent="0.25">
      <c r="A3" s="21">
        <v>1</v>
      </c>
      <c r="B3" s="21">
        <v>1</v>
      </c>
      <c r="C3" s="21">
        <v>2</v>
      </c>
      <c r="E3" s="21">
        <v>0</v>
      </c>
    </row>
    <row r="5" spans="1:8" x14ac:dyDescent="0.25">
      <c r="A5" s="21">
        <v>-1</v>
      </c>
      <c r="B5" s="21">
        <v>2</v>
      </c>
      <c r="C5" s="21">
        <v>1</v>
      </c>
      <c r="E5" s="30" t="s">
        <v>25</v>
      </c>
      <c r="F5" s="30"/>
      <c r="H5" s="21" t="s">
        <v>30</v>
      </c>
    </row>
    <row r="6" spans="1:8" x14ac:dyDescent="0.25">
      <c r="A6" s="21">
        <v>3</v>
      </c>
      <c r="B6" s="21">
        <v>-1</v>
      </c>
      <c r="C6" s="21">
        <v>1</v>
      </c>
      <c r="E6" s="21" t="s">
        <v>6</v>
      </c>
      <c r="F6" s="21">
        <f>MDETERM(A1:C3)</f>
        <v>-6</v>
      </c>
      <c r="H6" s="21">
        <f t="array" ref="H6:H8">MMULT(A1:C3,F12:F14)</f>
        <v>-0.99999999999999978</v>
      </c>
    </row>
    <row r="7" spans="1:8" x14ac:dyDescent="0.25">
      <c r="A7" s="21">
        <v>0</v>
      </c>
      <c r="B7" s="21">
        <v>1</v>
      </c>
      <c r="C7" s="21">
        <v>2</v>
      </c>
      <c r="E7" s="21" t="s">
        <v>15</v>
      </c>
      <c r="F7" s="21">
        <f>MDETERM(A5:C7)</f>
        <v>-6.0000000000000009</v>
      </c>
      <c r="H7" s="21">
        <v>3.0000000000000004</v>
      </c>
    </row>
    <row r="8" spans="1:8" x14ac:dyDescent="0.25">
      <c r="E8" s="21" t="s">
        <v>16</v>
      </c>
      <c r="F8" s="21">
        <f>MDETERM(A9:C11)</f>
        <v>6</v>
      </c>
      <c r="H8" s="32">
        <v>2.2204460492503131E-16</v>
      </c>
    </row>
    <row r="9" spans="1:8" x14ac:dyDescent="0.25">
      <c r="A9" s="21">
        <v>1</v>
      </c>
      <c r="B9" s="21">
        <v>-1</v>
      </c>
      <c r="C9" s="21">
        <v>1</v>
      </c>
      <c r="E9" s="21" t="s">
        <v>17</v>
      </c>
      <c r="F9" s="21">
        <f>MDETERM(A13:C15)</f>
        <v>0</v>
      </c>
    </row>
    <row r="10" spans="1:8" x14ac:dyDescent="0.25">
      <c r="A10" s="21">
        <v>2</v>
      </c>
      <c r="B10" s="21">
        <v>3</v>
      </c>
      <c r="C10" s="21">
        <v>1</v>
      </c>
    </row>
    <row r="11" spans="1:8" x14ac:dyDescent="0.25">
      <c r="A11" s="21">
        <v>1</v>
      </c>
      <c r="B11" s="21">
        <v>0</v>
      </c>
      <c r="C11" s="21">
        <v>2</v>
      </c>
      <c r="E11" s="31" t="s">
        <v>26</v>
      </c>
      <c r="F11" s="30"/>
    </row>
    <row r="12" spans="1:8" x14ac:dyDescent="0.25">
      <c r="E12" s="21" t="s">
        <v>27</v>
      </c>
      <c r="F12" s="21">
        <f>F7/$F$6</f>
        <v>1.0000000000000002</v>
      </c>
    </row>
    <row r="13" spans="1:8" x14ac:dyDescent="0.25">
      <c r="A13" s="21">
        <v>1</v>
      </c>
      <c r="B13" s="21">
        <v>2</v>
      </c>
      <c r="C13" s="21">
        <v>-1</v>
      </c>
      <c r="E13" s="21" t="s">
        <v>28</v>
      </c>
      <c r="F13" s="21">
        <f t="shared" ref="F13:F15" si="0">F8/$F$6</f>
        <v>-1</v>
      </c>
    </row>
    <row r="14" spans="1:8" x14ac:dyDescent="0.25">
      <c r="A14" s="21">
        <v>2</v>
      </c>
      <c r="B14" s="21">
        <v>-1</v>
      </c>
      <c r="C14" s="21">
        <v>3</v>
      </c>
      <c r="E14" s="21" t="s">
        <v>29</v>
      </c>
      <c r="F14" s="21">
        <f t="shared" si="0"/>
        <v>0</v>
      </c>
    </row>
    <row r="15" spans="1:8" x14ac:dyDescent="0.25">
      <c r="A15" s="21">
        <v>1</v>
      </c>
      <c r="B15" s="21">
        <v>1</v>
      </c>
      <c r="C15" s="21">
        <v>0</v>
      </c>
      <c r="E15" s="9"/>
      <c r="F15" s="9"/>
    </row>
  </sheetData>
  <mergeCells count="2">
    <mergeCell ref="E5:F5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метод1</vt:lpstr>
      <vt:lpstr>СР_1</vt:lpstr>
      <vt:lpstr>метод2</vt:lpstr>
      <vt:lpstr>СР_2</vt:lpstr>
      <vt:lpstr>метод3</vt:lpstr>
      <vt:lpstr>СР_3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Шильников</dc:creator>
  <cp:lastModifiedBy>Максим Шильников</cp:lastModifiedBy>
  <dcterms:created xsi:type="dcterms:W3CDTF">2015-06-05T18:19:34Z</dcterms:created>
  <dcterms:modified xsi:type="dcterms:W3CDTF">2025-11-27T19:36:59Z</dcterms:modified>
</cp:coreProperties>
</file>